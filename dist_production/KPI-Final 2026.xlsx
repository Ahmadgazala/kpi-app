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
    </mc:Choice>
  </mc:AlternateContent>
  <bookViews>
    <workbookView xWindow="0" yWindow="0" windowWidth="17256" windowHeight="5688" firstSheet="5" activeTab="9"/>
  </bookViews>
  <sheets>
    <sheet name="دليل المستويات" sheetId="1" r:id="rId1"/>
    <sheet name="الترويج والخبرة في تعلم الكبار" sheetId="2" r:id="rId2"/>
    <sheet name="برامج تعلم وتعليم الكبار" sheetId="3" r:id="rId3"/>
    <sheet name="البحث المجتمعي والتواصل" sheetId="4" r:id="rId4"/>
    <sheet name="التواصل والمناصرة" sheetId="5" r:id="rId5"/>
    <sheet name="الموارد البشرية" sheetId="6" r:id="rId6"/>
    <sheet name=" التمويل وكتابة المشاريع" sheetId="7" r:id="rId7"/>
    <sheet name="البنية التحتية والمعدات والتكنو" sheetId="8" r:id="rId8"/>
    <sheet name="الإدارة المالية" sheetId="9" r:id="rId9"/>
    <sheet name="الإدارة والحوكمة" sheetId="10" r:id="rId10"/>
    <sheet name="سجل المرفقات الداعمة" sheetId="17" r:id="rId11"/>
    <sheet name="النتائج" sheetId="11" r:id="rId12"/>
    <sheet name="كشف التحصيل" sheetId="12" r:id="rId13"/>
    <sheet name="كشف العلامات الموحد" sheetId="13" r:id="rId14"/>
    <sheet name="ملخص التقييم ودليل المستويات" sheetId="14" r:id="rId15"/>
    <sheet name="تحليل النتائج والرسوم البيانية" sheetId="16" r:id="rId16"/>
    <sheet name="العلامة النهائية" sheetId="15" r:id="rId17"/>
  </sheets>
  <calcPr calcId="162913"/>
</workbook>
</file>

<file path=xl/calcChain.xml><?xml version="1.0" encoding="utf-8"?>
<calcChain xmlns="http://schemas.openxmlformats.org/spreadsheetml/2006/main">
  <c r="W10" i="16" l="1"/>
  <c r="W9" i="16"/>
  <c r="W8" i="16"/>
  <c r="W7" i="16"/>
  <c r="W2" i="16"/>
  <c r="W6" i="16"/>
  <c r="W5" i="16"/>
  <c r="W4" i="16"/>
  <c r="W3" i="16"/>
  <c r="H13" i="10" l="1"/>
  <c r="H13" i="9"/>
  <c r="H15" i="3"/>
  <c r="H11" i="2"/>
  <c r="I11" i="2" s="1"/>
  <c r="H68" i="13" l="1"/>
  <c r="H67" i="13"/>
  <c r="H66" i="13"/>
  <c r="H65" i="13"/>
  <c r="H64" i="13"/>
  <c r="H63" i="13"/>
  <c r="H62" i="13"/>
  <c r="G68" i="13"/>
  <c r="G67" i="13"/>
  <c r="G66" i="13"/>
  <c r="G65" i="13"/>
  <c r="G64" i="13"/>
  <c r="G63" i="13"/>
  <c r="G62" i="13"/>
  <c r="F68" i="13"/>
  <c r="F67" i="13"/>
  <c r="F66" i="13"/>
  <c r="F65" i="13"/>
  <c r="F64" i="13"/>
  <c r="F63" i="13"/>
  <c r="F62" i="13"/>
  <c r="E68" i="13"/>
  <c r="E67" i="13"/>
  <c r="E66" i="13"/>
  <c r="E65" i="13"/>
  <c r="E64" i="13"/>
  <c r="E63" i="13"/>
  <c r="E62" i="13"/>
  <c r="D68" i="13"/>
  <c r="D67" i="13"/>
  <c r="D66" i="13"/>
  <c r="D65" i="13"/>
  <c r="D64" i="13"/>
  <c r="D63" i="13"/>
  <c r="D62" i="13"/>
  <c r="H61" i="13"/>
  <c r="H60" i="13"/>
  <c r="H59" i="13"/>
  <c r="H58" i="13"/>
  <c r="H57" i="13"/>
  <c r="H56" i="13"/>
  <c r="H55" i="13"/>
  <c r="G61" i="13"/>
  <c r="G60" i="13"/>
  <c r="G59" i="13"/>
  <c r="G58" i="13"/>
  <c r="G57" i="13"/>
  <c r="G56" i="13"/>
  <c r="G55" i="13"/>
  <c r="F61" i="13"/>
  <c r="F60" i="13"/>
  <c r="F59" i="13"/>
  <c r="F58" i="13"/>
  <c r="F57" i="13"/>
  <c r="F56" i="13"/>
  <c r="F55" i="13"/>
  <c r="E61" i="13"/>
  <c r="E60" i="13"/>
  <c r="E59" i="13"/>
  <c r="E58" i="13"/>
  <c r="E57" i="13"/>
  <c r="E56" i="13"/>
  <c r="E55" i="13"/>
  <c r="D61" i="13"/>
  <c r="D60" i="13"/>
  <c r="D59" i="13"/>
  <c r="D58" i="13"/>
  <c r="D57" i="13"/>
  <c r="D56" i="13"/>
  <c r="D55" i="13"/>
  <c r="H54" i="13"/>
  <c r="H53" i="13"/>
  <c r="H52" i="13"/>
  <c r="H51" i="13"/>
  <c r="H50" i="13"/>
  <c r="G54" i="13"/>
  <c r="G53" i="13"/>
  <c r="G52" i="13"/>
  <c r="G51" i="13"/>
  <c r="G50" i="13"/>
  <c r="F54" i="13"/>
  <c r="F53" i="13"/>
  <c r="F52" i="13"/>
  <c r="F51" i="13"/>
  <c r="F50" i="13"/>
  <c r="E54" i="13"/>
  <c r="E53" i="13"/>
  <c r="E52" i="13"/>
  <c r="E51" i="13"/>
  <c r="E50" i="13"/>
  <c r="D54" i="13"/>
  <c r="D53" i="13"/>
  <c r="D52" i="13"/>
  <c r="D51" i="13"/>
  <c r="D50" i="13"/>
  <c r="H49" i="13"/>
  <c r="H48" i="13"/>
  <c r="H47" i="13"/>
  <c r="H46" i="13"/>
  <c r="H45" i="13"/>
  <c r="G49" i="13"/>
  <c r="G48" i="13"/>
  <c r="G47" i="13"/>
  <c r="G46" i="13"/>
  <c r="G45" i="13"/>
  <c r="F49" i="13"/>
  <c r="F48" i="13"/>
  <c r="F47" i="13"/>
  <c r="F46" i="13"/>
  <c r="F45" i="13"/>
  <c r="E49" i="13"/>
  <c r="E48" i="13"/>
  <c r="E47" i="13"/>
  <c r="E46" i="13"/>
  <c r="E45" i="13"/>
  <c r="D49" i="13"/>
  <c r="D48" i="13"/>
  <c r="D47" i="13"/>
  <c r="D46" i="13"/>
  <c r="D45" i="13"/>
  <c r="H44" i="13"/>
  <c r="H43" i="13"/>
  <c r="H42" i="13"/>
  <c r="H41" i="13"/>
  <c r="H40" i="13"/>
  <c r="H39" i="13"/>
  <c r="G44" i="13"/>
  <c r="G43" i="13"/>
  <c r="G42" i="13"/>
  <c r="G41" i="13"/>
  <c r="G40" i="13"/>
  <c r="G39" i="13"/>
  <c r="F44" i="13"/>
  <c r="F43" i="13"/>
  <c r="F42" i="13"/>
  <c r="F41" i="13"/>
  <c r="F40" i="13"/>
  <c r="F39" i="13"/>
  <c r="E44" i="13"/>
  <c r="E43" i="13"/>
  <c r="E42" i="13"/>
  <c r="E41" i="13"/>
  <c r="E40" i="13"/>
  <c r="E39" i="13"/>
  <c r="D44" i="13"/>
  <c r="D43" i="13"/>
  <c r="D42" i="13"/>
  <c r="D41" i="13"/>
  <c r="D40" i="13"/>
  <c r="D39" i="13"/>
  <c r="H38" i="13"/>
  <c r="H37" i="13"/>
  <c r="H36" i="13"/>
  <c r="H35" i="13"/>
  <c r="H34" i="13"/>
  <c r="H33" i="13"/>
  <c r="G38" i="13"/>
  <c r="G37" i="13"/>
  <c r="G36" i="13"/>
  <c r="G35" i="13"/>
  <c r="G34" i="13"/>
  <c r="G33" i="13"/>
  <c r="F38" i="13"/>
  <c r="F37" i="13"/>
  <c r="F36" i="13"/>
  <c r="F35" i="13"/>
  <c r="F34" i="13"/>
  <c r="F33" i="13"/>
  <c r="E38" i="13"/>
  <c r="E37" i="13"/>
  <c r="E36" i="13"/>
  <c r="E35" i="13"/>
  <c r="E34" i="13"/>
  <c r="E33" i="13"/>
  <c r="D38" i="13"/>
  <c r="D37" i="13"/>
  <c r="D36" i="13"/>
  <c r="D35" i="13"/>
  <c r="D34" i="13"/>
  <c r="D33" i="13"/>
  <c r="H32" i="13"/>
  <c r="H31" i="13"/>
  <c r="H30" i="13"/>
  <c r="H29" i="13"/>
  <c r="H28" i="13"/>
  <c r="H27" i="13"/>
  <c r="H26" i="13"/>
  <c r="G32" i="13"/>
  <c r="G31" i="13"/>
  <c r="G30" i="13"/>
  <c r="G29" i="13"/>
  <c r="G28" i="13"/>
  <c r="G27" i="13"/>
  <c r="G26" i="13"/>
  <c r="F32" i="13"/>
  <c r="F31" i="13"/>
  <c r="F30" i="13"/>
  <c r="F29" i="13"/>
  <c r="F28" i="13"/>
  <c r="F27" i="13"/>
  <c r="F26" i="13"/>
  <c r="E32" i="13"/>
  <c r="E31" i="13"/>
  <c r="E30" i="13"/>
  <c r="E29" i="13"/>
  <c r="E28" i="13"/>
  <c r="E27" i="13"/>
  <c r="E26" i="13"/>
  <c r="D32" i="13"/>
  <c r="D31" i="13"/>
  <c r="D30" i="13"/>
  <c r="D29" i="13"/>
  <c r="D28" i="13"/>
  <c r="D27" i="13"/>
  <c r="D26" i="13"/>
  <c r="H25" i="13"/>
  <c r="H24" i="13"/>
  <c r="H23" i="13"/>
  <c r="H22" i="13"/>
  <c r="H21" i="13"/>
  <c r="H20" i="13"/>
  <c r="H19" i="13"/>
  <c r="H18" i="13"/>
  <c r="H17" i="13"/>
  <c r="G25" i="13"/>
  <c r="G24" i="13"/>
  <c r="G23" i="13"/>
  <c r="G22" i="13"/>
  <c r="G21" i="13"/>
  <c r="G20" i="13"/>
  <c r="G19" i="13"/>
  <c r="G18" i="13"/>
  <c r="G17" i="13"/>
  <c r="F25" i="13"/>
  <c r="F24" i="13"/>
  <c r="F23" i="13"/>
  <c r="F22" i="13"/>
  <c r="F21" i="13"/>
  <c r="F20" i="13"/>
  <c r="F19" i="13"/>
  <c r="F18" i="13"/>
  <c r="F17" i="13"/>
  <c r="E25" i="13"/>
  <c r="E24" i="13"/>
  <c r="E23" i="13"/>
  <c r="E22" i="13"/>
  <c r="E21" i="13"/>
  <c r="E20" i="13"/>
  <c r="E19" i="13"/>
  <c r="E18" i="13"/>
  <c r="E17" i="13"/>
  <c r="D25" i="13"/>
  <c r="D24" i="13"/>
  <c r="D23" i="13"/>
  <c r="D22" i="13"/>
  <c r="D21" i="13"/>
  <c r="D20" i="13"/>
  <c r="D19" i="13"/>
  <c r="D18" i="13"/>
  <c r="D17" i="13"/>
  <c r="H16" i="13"/>
  <c r="H15" i="13"/>
  <c r="H14" i="13"/>
  <c r="H13" i="13"/>
  <c r="H12" i="13"/>
  <c r="H11" i="13"/>
  <c r="G16" i="13"/>
  <c r="G15" i="13"/>
  <c r="G14" i="13"/>
  <c r="G13" i="13"/>
  <c r="G12" i="13"/>
  <c r="G11" i="13"/>
  <c r="F16" i="13"/>
  <c r="F15" i="13"/>
  <c r="F14" i="13"/>
  <c r="F13" i="13"/>
  <c r="F12" i="13"/>
  <c r="F11" i="13"/>
  <c r="E16" i="13"/>
  <c r="E15" i="13"/>
  <c r="E14" i="13"/>
  <c r="E13" i="13"/>
  <c r="E12" i="13"/>
  <c r="E11" i="13"/>
  <c r="D16" i="13"/>
  <c r="D15" i="13"/>
  <c r="D14" i="13"/>
  <c r="D13" i="13"/>
  <c r="D12" i="13"/>
  <c r="D11" i="13"/>
  <c r="C8" i="12"/>
  <c r="E20" i="12"/>
  <c r="E21" i="12" s="1"/>
  <c r="C9" i="12" l="1"/>
  <c r="E69" i="13"/>
  <c r="E70" i="13" s="1"/>
  <c r="E71" i="13" s="1"/>
  <c r="G24" i="12"/>
  <c r="G25" i="12" s="1"/>
  <c r="F24" i="12"/>
  <c r="F25" i="12" s="1"/>
  <c r="E24" i="12"/>
  <c r="E25" i="12" s="1"/>
  <c r="D24" i="12"/>
  <c r="D25" i="12" s="1"/>
  <c r="C24" i="12"/>
  <c r="G22" i="12"/>
  <c r="G23" i="12" s="1"/>
  <c r="F22" i="12"/>
  <c r="F23" i="12" s="1"/>
  <c r="E22" i="12"/>
  <c r="E23" i="12" s="1"/>
  <c r="D22" i="12"/>
  <c r="D23" i="12" s="1"/>
  <c r="C22" i="12"/>
  <c r="G20" i="12"/>
  <c r="G21" i="12" s="1"/>
  <c r="F20" i="12"/>
  <c r="F21" i="12" s="1"/>
  <c r="D20" i="12"/>
  <c r="D21" i="12" s="1"/>
  <c r="C20" i="12"/>
  <c r="G18" i="12"/>
  <c r="G19" i="12" s="1"/>
  <c r="F18" i="12"/>
  <c r="F19" i="12" s="1"/>
  <c r="E18" i="12"/>
  <c r="E19" i="12" s="1"/>
  <c r="D18" i="12"/>
  <c r="D19" i="12" s="1"/>
  <c r="C18" i="12"/>
  <c r="G16" i="12"/>
  <c r="G17" i="12" s="1"/>
  <c r="F16" i="12"/>
  <c r="F17" i="12" s="1"/>
  <c r="E16" i="12"/>
  <c r="E17" i="12" s="1"/>
  <c r="D16" i="12"/>
  <c r="D17" i="12" s="1"/>
  <c r="C16" i="12"/>
  <c r="G14" i="12"/>
  <c r="G15" i="12" s="1"/>
  <c r="F14" i="12"/>
  <c r="F15" i="12" s="1"/>
  <c r="E14" i="12"/>
  <c r="E15" i="12" s="1"/>
  <c r="D14" i="12"/>
  <c r="D15" i="12" s="1"/>
  <c r="C14" i="12"/>
  <c r="G12" i="12"/>
  <c r="G13" i="12" s="1"/>
  <c r="F12" i="12"/>
  <c r="F13" i="12" s="1"/>
  <c r="E12" i="12"/>
  <c r="E13" i="12" s="1"/>
  <c r="D12" i="12"/>
  <c r="D13" i="12" s="1"/>
  <c r="C12" i="12"/>
  <c r="G10" i="12"/>
  <c r="G11" i="12" s="1"/>
  <c r="F10" i="12"/>
  <c r="F11" i="12" s="1"/>
  <c r="E10" i="12"/>
  <c r="E11" i="12" s="1"/>
  <c r="D10" i="12"/>
  <c r="D11" i="12" s="1"/>
  <c r="C10" i="12"/>
  <c r="G8" i="12"/>
  <c r="G9" i="12" s="1"/>
  <c r="F8" i="12"/>
  <c r="F9" i="12" s="1"/>
  <c r="E8" i="12"/>
  <c r="E9" i="12" s="1"/>
  <c r="D8" i="12"/>
  <c r="D9" i="12" s="1"/>
  <c r="I13" i="10"/>
  <c r="E14" i="11" s="1"/>
  <c r="X10" i="16" s="1"/>
  <c r="I13" i="9"/>
  <c r="H11" i="8"/>
  <c r="I11" i="8" s="1"/>
  <c r="E12" i="11" s="1"/>
  <c r="X8" i="16" s="1"/>
  <c r="H11" i="7"/>
  <c r="I11" i="7" s="1"/>
  <c r="H12" i="6"/>
  <c r="I12" i="6" s="1"/>
  <c r="H12" i="5"/>
  <c r="I12" i="5" s="1"/>
  <c r="H13" i="4"/>
  <c r="I13" i="4" s="1"/>
  <c r="I15" i="3"/>
  <c r="C11" i="12" l="1"/>
  <c r="H11" i="12" s="1"/>
  <c r="C13" i="12"/>
  <c r="H13" i="12" s="1"/>
  <c r="C15" i="12"/>
  <c r="H15" i="12" s="1"/>
  <c r="C17" i="12"/>
  <c r="H17" i="12" s="1"/>
  <c r="C19" i="12"/>
  <c r="H19" i="12" s="1"/>
  <c r="C21" i="12"/>
  <c r="H21" i="12" s="1"/>
  <c r="C25" i="12"/>
  <c r="H25" i="12" s="1"/>
  <c r="C23" i="12"/>
  <c r="H23" i="12" s="1"/>
  <c r="H9" i="12"/>
  <c r="D28" i="12"/>
  <c r="B7" i="15" s="1"/>
  <c r="D27" i="12"/>
  <c r="B6" i="15" s="1"/>
  <c r="C14" i="11"/>
  <c r="E13" i="11"/>
  <c r="X9" i="16" s="1"/>
  <c r="E11" i="11"/>
  <c r="X7" i="16" s="1"/>
  <c r="E10" i="11"/>
  <c r="X6" i="16" s="1"/>
  <c r="E9" i="11"/>
  <c r="X5" i="16" s="1"/>
  <c r="E8" i="11"/>
  <c r="X4" i="16" s="1"/>
  <c r="E7" i="11"/>
  <c r="X3" i="16" s="1"/>
  <c r="G69" i="13"/>
  <c r="F69" i="13"/>
  <c r="D69" i="13"/>
  <c r="D70" i="13" s="1"/>
  <c r="D71" i="13" s="1"/>
  <c r="H69" i="13"/>
  <c r="G28" i="12"/>
  <c r="E7" i="15" s="1"/>
  <c r="F28" i="12"/>
  <c r="D7" i="15" s="1"/>
  <c r="E28" i="12"/>
  <c r="C7" i="15" s="1"/>
  <c r="G27" i="12"/>
  <c r="E6" i="15" s="1"/>
  <c r="F27" i="12"/>
  <c r="D6" i="15" s="1"/>
  <c r="E27" i="12"/>
  <c r="C6" i="15" s="1"/>
  <c r="C27" i="12"/>
  <c r="A6" i="15" s="1"/>
  <c r="C28" i="12" l="1"/>
  <c r="A7" i="15" s="1"/>
  <c r="H70" i="13"/>
  <c r="H71" i="13" s="1"/>
  <c r="F70" i="13"/>
  <c r="F71" i="13" s="1"/>
  <c r="G70" i="13"/>
  <c r="G71" i="13" s="1"/>
  <c r="D30" i="12"/>
  <c r="B9" i="15" s="1"/>
  <c r="G30" i="12"/>
  <c r="E9" i="15" s="1"/>
  <c r="E30" i="12"/>
  <c r="C9" i="15" s="1"/>
  <c r="F30" i="12"/>
  <c r="D9" i="15" s="1"/>
  <c r="C30" i="12" l="1"/>
  <c r="A9" i="15" s="1"/>
  <c r="D14" i="11"/>
  <c r="B14" i="14" s="1"/>
  <c r="C13" i="11"/>
  <c r="D13" i="11" s="1"/>
  <c r="B13" i="14" s="1"/>
  <c r="C12" i="11"/>
  <c r="D12" i="11" s="1"/>
  <c r="B12" i="14" s="1"/>
  <c r="C11" i="11"/>
  <c r="D11" i="11" s="1"/>
  <c r="B11" i="14" s="1"/>
  <c r="C9" i="11"/>
  <c r="D9" i="11" s="1"/>
  <c r="B9" i="14" s="1"/>
  <c r="C8" i="11"/>
  <c r="D8" i="11" s="1"/>
  <c r="B8" i="14" s="1"/>
  <c r="C7" i="11"/>
  <c r="D7" i="11" s="1"/>
  <c r="B7" i="14" s="1"/>
  <c r="C32" i="12" l="1"/>
  <c r="C6" i="11"/>
  <c r="D6" i="11" s="1"/>
  <c r="B6" i="14" s="1"/>
  <c r="E6" i="11" l="1"/>
  <c r="X2" i="16" s="1"/>
  <c r="E15" i="11" l="1"/>
  <c r="G6" i="14" l="1"/>
  <c r="D15" i="11"/>
  <c r="J30" i="12" s="1"/>
  <c r="H30" i="12"/>
  <c r="A10" i="15" s="1"/>
  <c r="G7" i="14" l="1"/>
  <c r="F10" i="14" s="1"/>
  <c r="D72" i="13"/>
  <c r="D6" i="13"/>
  <c r="C10" i="11"/>
  <c r="D10" i="11" s="1"/>
  <c r="B10" i="14" s="1"/>
  <c r="G8" i="14" l="1"/>
  <c r="G10" i="14" s="1"/>
  <c r="F8" i="14"/>
  <c r="G11" i="14" l="1"/>
</calcChain>
</file>

<file path=xl/sharedStrings.xml><?xml version="1.0" encoding="utf-8"?>
<sst xmlns="http://schemas.openxmlformats.org/spreadsheetml/2006/main" count="1223" uniqueCount="808">
  <si>
    <t>الدرجة</t>
  </si>
  <si>
    <t>المستوى</t>
  </si>
  <si>
    <t>المعنى المبسط</t>
  </si>
  <si>
    <t>منطق التدرج</t>
  </si>
  <si>
    <t>ناشئ</t>
  </si>
  <si>
    <t>لا تطبق مؤسستنا الممارسة أو تطبقها بصورة محدودة جدًا.</t>
  </si>
  <si>
    <t>لا توجد ممارسة واضحة</t>
  </si>
  <si>
    <t>أولي</t>
  </si>
  <si>
    <t>بدأت مؤسستنا بالممارسة بصورة بسيطة ومحدودة وغير منتظمة.</t>
  </si>
  <si>
    <t>بدأ التطبيق بصورة أولية</t>
  </si>
  <si>
    <t>أساسي</t>
  </si>
  <si>
    <t>تطبق مؤسستنا ممارسة أساسية وواضحة، لكنها ليست منتظمة أو موثقة بالكامل.</t>
  </si>
  <si>
    <t>توجد ممارسة فعلية</t>
  </si>
  <si>
    <t>منظم</t>
  </si>
  <si>
    <t>تطبق مؤسستنا إجراءات واضحة وموثقة بانتظام وتتابع تنفيذها.</t>
  </si>
  <si>
    <t>الممارسة منظمة ومتابعة</t>
  </si>
  <si>
    <t>ديناميكي</t>
  </si>
  <si>
    <t>تحلل مؤسستنا النتائج وتراجع الممارسة وتطورها باستمرار وتستخدمها في التخطيط واتخاذ القرار.</t>
  </si>
  <si>
    <t>تحسين مستمر قائم على النتائج</t>
  </si>
  <si>
    <t>ملاحظة</t>
  </si>
  <si>
    <t>تم إعداد المستوى «أولي» كمرحلة تطور حقيقية بين «ناشئ» و«أساسي»، وليس كتقسيم لغوي فقط.</t>
  </si>
  <si>
    <t>الترويج والخبرة في تعلم الكبار</t>
  </si>
  <si>
    <t>المؤشر / السؤال المبسط</t>
  </si>
  <si>
    <t>1 - ناشئ</t>
  </si>
  <si>
    <t>2 - أولي</t>
  </si>
  <si>
    <t>3 - أساسي</t>
  </si>
  <si>
    <t>4 - منظم</t>
  </si>
  <si>
    <t>5 - ديناميكي</t>
  </si>
  <si>
    <t>تحسين الصورة العامة لتعلم وتعليم الكبار</t>
  </si>
  <si>
    <t>إلى أي مدى تعمل مؤسستك على تحسين الصورة العامة لتعلم وتعليم الكبار من خلال التواصل والإعلام والتوعية؟</t>
  </si>
  <si>
    <t>لا تطبق مؤسستنا ممارسات واضحة في مجال تحسين الصورة العامة لتعلم وتعليم الكبار، وتتعامل معه عند الحاجة فقط.</t>
  </si>
  <si>
    <t>بدأت مؤسستنا باتخاذ خطوات بسيطة في مجال تحسين الصورة العامة لتعلم وتعليم الكبار، لكنها ما تزال محدودة وغير منتظمة.</t>
  </si>
  <si>
    <t>تطبق مؤسستنا ممارسات أساسية وواضحة في مجال تحسين الصورة العامة لتعلم وتعليم الكبار، لكنها لا تنفذها أو توثقها بشكل منتظم بالكامل.</t>
  </si>
  <si>
    <t>تطبق مؤسستنا إجراءات واضحة وموثقة في مجال تحسين الصورة العامة لتعلم وتعليم الكبار، وتنفذها بانتظام وتتابع نتائجها.</t>
  </si>
  <si>
    <t>تراجع مؤسستنا ممارسات تحسين الصورة العامة لتعلم وتعليم الكبار باستمرار، وتحلل النتائج والتغذية الراجعة وتستخدمها للتطوير واتخاذ القرارات.</t>
  </si>
  <si>
    <t>المشاركة في المعرفة والنقاشات</t>
  </si>
  <si>
    <t>إلى أي مدى تشارك مؤسستك في المعرفة والنقاشات المتعلقة بتعلم وتعليم الكبار محليًا ووطنيًا وإقليميًا ودوليًا؟</t>
  </si>
  <si>
    <t>لا تطبق مؤسستنا ممارسات واضحة في مجال المشاركة في المعرفة والنقاشات، وتتعامل معه عند الحاجة فقط.</t>
  </si>
  <si>
    <t>بدأت مؤسستنا باتخاذ خطوات بسيطة في مجال المشاركة في المعرفة والنقاشات، لكنها ما تزال محدودة وغير منتظمة.</t>
  </si>
  <si>
    <t>تطبق مؤسستنا ممارسات أساسية وواضحة في مجال المشاركة في المعرفة والنقاشات، لكنها لا تنفذها أو توثقها بشكل منتظم بالكامل.</t>
  </si>
  <si>
    <t>تطبق مؤسستنا إجراءات واضحة وموثقة في مجال المشاركة في المعرفة والنقاشات، وتنفذها بانتظام وتتابع نتائجها.</t>
  </si>
  <si>
    <t>تراجع مؤسستنا ممارسات المشاركة في المعرفة والنقاشات باستمرار، وتحلل النتائج والتغذية الراجعة وتستخدمها للتطوير واتخاذ القرارات.</t>
  </si>
  <si>
    <t>المناصرة لتعلم وتعليم الكبار</t>
  </si>
  <si>
    <t>إلى أي مدى تناصر مؤسستك تعلم وتعليم الكبار لرفع الوعي والتأثير في السياسات وحشد الدعم والتمويل؟</t>
  </si>
  <si>
    <t>لا تطبق مؤسستنا ممارسات واضحة في مجال المناصرة لتعلم وتعليم الكبار، وتتعامل معه عند الحاجة فقط.</t>
  </si>
  <si>
    <t>بدأت مؤسستنا باتخاذ خطوات بسيطة في مجال المناصرة لتعلم وتعليم الكبار، لكنها ما تزال محدودة وغير منتظمة.</t>
  </si>
  <si>
    <t>تطبق مؤسستنا ممارسات أساسية وواضحة في مجال المناصرة لتعلم وتعليم الكبار، لكنها لا تنفذها أو توثقها بشكل منتظم بالكامل.</t>
  </si>
  <si>
    <t>تطبق مؤسستنا إجراءات واضحة وموثقة في مجال المناصرة لتعلم وتعليم الكبار، وتنفذها بانتظام وتتابع نتائجها.</t>
  </si>
  <si>
    <t>تراجع مؤسستنا ممارسات المناصرة لتعلم وتعليم الكبار باستمرار، وتحلل النتائج والتغذية الراجعة وتستخدمها للتطوير واتخاذ القرارات.</t>
  </si>
  <si>
    <t>استخدام منهجيات تعلم الكبار</t>
  </si>
  <si>
    <t>إلى أي مدى تفهم مؤسستك منهجيات تعلم وتعليم الكبار وتستخدمها في برامجها التعليمية؟</t>
  </si>
  <si>
    <t>لا تطبق مؤسستنا ممارسات واضحة في مجال استخدام منهجيات تعلم الكبار، وتتعامل معه عند الحاجة فقط.</t>
  </si>
  <si>
    <t>بدأت مؤسستنا باتخاذ خطوات بسيطة في مجال استخدام منهجيات تعلم الكبار، لكنها ما تزال محدودة وغير منتظمة.</t>
  </si>
  <si>
    <t>تطبق مؤسستنا ممارسات أساسية وواضحة في مجال استخدام منهجيات تعلم الكبار، لكنها لا تنفذها أو توثقها بشكل منتظم بالكامل.</t>
  </si>
  <si>
    <t>تطبق مؤسستنا إجراءات واضحة وموثقة في مجال استخدام منهجيات تعلم الكبار، وتنفذها بانتظام وتتابع نتائجها.</t>
  </si>
  <si>
    <t>تراجع مؤسستنا ممارسات استخدام منهجيات تعلم الكبار باستمرار، وتحلل النتائج والتغذية الراجعة وتستخدمها للتطوير واتخاذ القرارات.</t>
  </si>
  <si>
    <t>التشبيك والتعاون</t>
  </si>
  <si>
    <t>إلى أي مدى تتعاون مؤسستك مع مقدمي تعلم الكبار وأصحاب المصلحة والشبكات على المستويات المختلفة؟</t>
  </si>
  <si>
    <t>لا تطبق مؤسستنا ممارسات واضحة في مجال التشبيك والتعاون، وتتعامل معه عند الحاجة فقط.</t>
  </si>
  <si>
    <t>بدأت مؤسستنا باتخاذ خطوات بسيطة في مجال التشبيك والتعاون، لكنها ما تزال محدودة وغير منتظمة.</t>
  </si>
  <si>
    <t>تطبق مؤسستنا ممارسات أساسية وواضحة في مجال التشبيك والتعاون، لكنها لا تنفذها أو توثقها بشكل منتظم بالكامل.</t>
  </si>
  <si>
    <t>تطبق مؤسستنا إجراءات واضحة وموثقة في مجال التشبيك والتعاون، وتنفذها بانتظام وتتابع نتائجها.</t>
  </si>
  <si>
    <t>تراجع مؤسستنا ممارسات التشبيك والتعاون باستمرار، وتحلل النتائج والتغذية الراجعة وتستخدمها للتطوير واتخاذ القرارات.</t>
  </si>
  <si>
    <t>تدريب الفريق على أساليب تعلم الكبار</t>
  </si>
  <si>
    <t>إلى أي مدى تدرب مؤسستك العاملين والمدربين على أساليب تعلم الكبار وتستخدم هذه الأساليب في تصميم وتنفيذ التدريب؟</t>
  </si>
  <si>
    <t>لا تطبق مؤسستنا ممارسات واضحة في مجال تدريب الفريق على أساليب تعلم الكبار، وتتعامل معه عند الحاجة فقط.</t>
  </si>
  <si>
    <t>بدأت مؤسستنا باتخاذ خطوات بسيطة في مجال تدريب الفريق على أساليب تعلم الكبار، لكنها ما تزال محدودة وغير منتظمة.</t>
  </si>
  <si>
    <t>تطبق مؤسستنا ممارسات أساسية وواضحة في مجال تدريب الفريق على أساليب تعلم الكبار، لكنها لا تنفذها أو توثقها بشكل منتظم بالكامل.</t>
  </si>
  <si>
    <t>تطبق مؤسستنا إجراءات واضحة وموثقة في مجال تدريب الفريق على أساليب تعلم الكبار، وتنفذها بانتظام وتتابع نتائجها.</t>
  </si>
  <si>
    <t>تراجع مؤسستنا ممارسات تدريب الفريق على أساليب تعلم الكبار باستمرار، وتحلل النتائج والتغذية الراجعة وتستخدمها للتطوير واتخاذ القرارات.</t>
  </si>
  <si>
    <t>متوسط المجال</t>
  </si>
  <si>
    <t>مصطلحات مساعدة</t>
  </si>
  <si>
    <t>شرح مبسط</t>
  </si>
  <si>
    <t>التواصل الاستراتيجي، الإعلام، التوعية، الصورة العامة</t>
  </si>
  <si>
    <t>تعلم وتعليم الكبار، تبادل المعرفة، الشبكات المهنية</t>
  </si>
  <si>
    <t>المناصرة، السياسات العامة، حشد الدعم</t>
  </si>
  <si>
    <t>منهجيات تعلم الكبار، الأندراغوجيا، التعلم التشاركي</t>
  </si>
  <si>
    <t>التشبيك، الشراكات، أصحاب المصلحة</t>
  </si>
  <si>
    <t>تطوير المدربين، الأندراغوجيا، التعليم الشعبي</t>
  </si>
  <si>
    <t>برامج تعلم وتعليم الكبار</t>
  </si>
  <si>
    <t>تنوع وتنظيم البرامج التعليمية</t>
  </si>
  <si>
    <t>إلى أي مدى تقدم مؤسستك برامج تعليمية متنوعة ومنظمة تلبي احتياجات المتعلمين؟</t>
  </si>
  <si>
    <t>لا تطبق مؤسستنا ممارسات واضحة في مجال تنوع وتنظيم البرامج التعليمية، وتتعامل معه عند الحاجة فقط.</t>
  </si>
  <si>
    <t>بدأت مؤسستنا باتخاذ خطوات بسيطة في مجال تنوع وتنظيم البرامج التعليمية، لكنها ما تزال محدودة وغير منتظمة.</t>
  </si>
  <si>
    <t>تطبق مؤسستنا ممارسات أساسية وواضحة في مجال تنوع وتنظيم البرامج التعليمية، لكنها لا تنفذها أو توثقها بشكل منتظم بالكامل.</t>
  </si>
  <si>
    <t>تطبق مؤسستنا إجراءات واضحة وموثقة في مجال تنوع وتنظيم البرامج التعليمية، وتنفذها بانتظام وتتابع نتائجها.</t>
  </si>
  <si>
    <t>تراجع مؤسستنا ممارسات تنوع وتنظيم البرامج التعليمية باستمرار، وتحلل النتائج والتغذية الراجعة وتستخدمها للتطوير واتخاذ القرارات.</t>
  </si>
  <si>
    <t>جودة المناهج وتقييمها</t>
  </si>
  <si>
    <t>إلى أي مدى تحافظ مؤسستك على جودة المناهج وتقيّمها وتطورها؟</t>
  </si>
  <si>
    <t>لا تطبق مؤسستنا ممارسات واضحة في مجال جودة المناهج وتقييمها، وتتعامل معه عند الحاجة فقط.</t>
  </si>
  <si>
    <t>بدأت مؤسستنا باتخاذ خطوات بسيطة في مجال جودة المناهج وتقييمها، لكنها ما تزال محدودة وغير منتظمة.</t>
  </si>
  <si>
    <t>تطبق مؤسستنا ممارسات أساسية وواضحة في مجال جودة المناهج وتقييمها، لكنها لا تنفذها أو توثقها بشكل منتظم بالكامل.</t>
  </si>
  <si>
    <t>تطبق مؤسستنا إجراءات واضحة وموثقة في مجال جودة المناهج وتقييمها، وتنفذها بانتظام وتتابع نتائجها.</t>
  </si>
  <si>
    <t>تراجع مؤسستنا ممارسات جودة المناهج وتقييمها باستمرار، وتحلل النتائج والتغذية الراجعة وتستخدمها للتطوير واتخاذ القرارات.</t>
  </si>
  <si>
    <t>تنوع أشكال تقديم الدورات</t>
  </si>
  <si>
    <t>إلى أي مدى تنوع مؤسستك طرق تقديم الدورات مثل الوجاهي والرقمي والمدمج؟</t>
  </si>
  <si>
    <t>لا تطبق مؤسستنا ممارسات واضحة في مجال تنوع أشكال تقديم الدورات، وتتعامل معه عند الحاجة فقط.</t>
  </si>
  <si>
    <t>بدأت مؤسستنا باتخاذ خطوات بسيطة في مجال تنوع أشكال تقديم الدورات، لكنها ما تزال محدودة وغير منتظمة.</t>
  </si>
  <si>
    <t>تطبق مؤسستنا ممارسات أساسية وواضحة في مجال تنوع أشكال تقديم الدورات، لكنها لا تنفذها أو توثقها بشكل منتظم بالكامل.</t>
  </si>
  <si>
    <t>تطبق مؤسستنا إجراءات واضحة وموثقة في مجال تنوع أشكال تقديم الدورات، وتنفذها بانتظام وتتابع نتائجها.</t>
  </si>
  <si>
    <t>تراجع مؤسستنا ممارسات تنوع أشكال تقديم الدورات باستمرار، وتحلل النتائج والتغذية الراجعة وتستخدمها للتطوير واتخاذ القرارات.</t>
  </si>
  <si>
    <t>إتاحة البرامج للمشاركين</t>
  </si>
  <si>
    <t>إلى أي مدى تجعل مؤسستك برامجها سهلة الوصول والمشاركة لمختلف الفئات؟</t>
  </si>
  <si>
    <t>لا تطبق مؤسستنا ممارسات واضحة في مجال إتاحة البرامج للمشاركين، وتتعامل معه عند الحاجة فقط.</t>
  </si>
  <si>
    <t>بدأت مؤسستنا باتخاذ خطوات بسيطة في مجال إتاحة البرامج للمشاركين، لكنها ما تزال محدودة وغير منتظمة.</t>
  </si>
  <si>
    <t>تطبق مؤسستنا ممارسات أساسية وواضحة في مجال إتاحة البرامج للمشاركين، لكنها لا تنفذها أو توثقها بشكل منتظم بالكامل.</t>
  </si>
  <si>
    <t>تطبق مؤسستنا إجراءات واضحة وموثقة في مجال إتاحة البرامج للمشاركين، وتنفذها بانتظام وتتابع نتائجها.</t>
  </si>
  <si>
    <t>تراجع مؤسستنا ممارسات إتاحة البرامج للمشاركين باستمرار، وتحلل النتائج والتغذية الراجعة وتستخدمها للتطوير واتخاذ القرارات.</t>
  </si>
  <si>
    <t>تغذية المشاركين الراجعة ورضاهم</t>
  </si>
  <si>
    <t>إلى أي مدى تجمع مؤسستك آراء المشاركين وتقيس رضاهم وتستخدم النتائج لتحسين البرامج؟</t>
  </si>
  <si>
    <t>لا تطبق مؤسستنا ممارسات واضحة في مجال تغذية المشاركين الراجعة ورضاهم، وتتعامل معه عند الحاجة فقط.</t>
  </si>
  <si>
    <t>بدأت مؤسستنا باتخاذ خطوات بسيطة في مجال تغذية المشاركين الراجعة ورضاهم، لكنها ما تزال محدودة وغير منتظمة.</t>
  </si>
  <si>
    <t>تطبق مؤسستنا ممارسات أساسية وواضحة في مجال تغذية المشاركين الراجعة ورضاهم، لكنها لا تنفذها أو توثقها بشكل منتظم بالكامل.</t>
  </si>
  <si>
    <t>تطبق مؤسستنا إجراءات واضحة وموثقة في مجال تغذية المشاركين الراجعة ورضاهم، وتنفذها بانتظام وتتابع نتائجها.</t>
  </si>
  <si>
    <t>تراجع مؤسستنا ممارسات تغذية المشاركين الراجعة ورضاهم باستمرار، وتحلل النتائج والتغذية الراجعة وتستخدمها للتطوير واتخاذ القرارات.</t>
  </si>
  <si>
    <t>التوجيه والإرشاد المهني</t>
  </si>
  <si>
    <t>إلى أي مدى تقدم مؤسستك خدمات التوجيه والإرشاد المهني للمتعلمين بصورة منظمة؟</t>
  </si>
  <si>
    <t>لا تطبق مؤسستنا ممارسات واضحة في مجال التوجيه والإرشاد المهني، وتتعامل معه عند الحاجة فقط.</t>
  </si>
  <si>
    <t>بدأت مؤسستنا باتخاذ خطوات بسيطة في مجال التوجيه والإرشاد المهني، لكنها ما تزال محدودة وغير منتظمة.</t>
  </si>
  <si>
    <t>تطبق مؤسستنا ممارسات أساسية وواضحة في مجال التوجيه والإرشاد المهني، لكنها لا تنفذها أو توثقها بشكل منتظم بالكامل.</t>
  </si>
  <si>
    <t>تطبق مؤسستنا إجراءات واضحة وموثقة في مجال التوجيه والإرشاد المهني، وتنفذها بانتظام وتتابع نتائجها.</t>
  </si>
  <si>
    <t>تراجع مؤسستنا ممارسات التوجيه والإرشاد المهني باستمرار، وتحلل النتائج والتغذية الراجعة وتستخدمها للتطوير واتخاذ القرارات.</t>
  </si>
  <si>
    <t>تنفيذ الدورات بانتظام</t>
  </si>
  <si>
    <t>إلى أي مدى تنفذ مؤسستك الدورات وفق الخطط والجداول والمعايير المحددة؟</t>
  </si>
  <si>
    <t>لا تطبق مؤسستنا ممارسات واضحة في مجال تنفيذ الدورات بانتظام، وتتعامل معه عند الحاجة فقط.</t>
  </si>
  <si>
    <t>بدأت مؤسستنا باتخاذ خطوات بسيطة في مجال تنفيذ الدورات بانتظام، لكنها ما تزال محدودة وغير منتظمة.</t>
  </si>
  <si>
    <t>تطبق مؤسستنا ممارسات أساسية وواضحة في مجال تنفيذ الدورات بانتظام، لكنها لا تنفذها أو توثقها بشكل منتظم بالكامل.</t>
  </si>
  <si>
    <t>تطبق مؤسستنا إجراءات واضحة وموثقة في مجال تنفيذ الدورات بانتظام، وتنفذها بانتظام وتتابع نتائجها.</t>
  </si>
  <si>
    <t>تراجع مؤسستنا ممارسات تنفيذ الدورات بانتظام باستمرار، وتحلل النتائج والتغذية الراجعة وتستخدمها للتطوير واتخاذ القرارات.</t>
  </si>
  <si>
    <t>ضمان جودة البرامج</t>
  </si>
  <si>
    <t>إلى أي مدى تطبق مؤسستك إجراءات لضمان جودة برامج تعلم وتعليم الكبار ونتائجها؟</t>
  </si>
  <si>
    <t>لا تطبق مؤسستنا ممارسات واضحة في مجال ضمان جودة البرامج، وتتعامل معه عند الحاجة فقط.</t>
  </si>
  <si>
    <t>بدأت مؤسستنا باتخاذ خطوات بسيطة في مجال ضمان جودة البرامج، لكنها ما تزال محدودة وغير منتظمة.</t>
  </si>
  <si>
    <t>تطبق مؤسستنا ممارسات أساسية وواضحة في مجال ضمان جودة البرامج، لكنها لا تنفذها أو توثقها بشكل منتظم بالكامل.</t>
  </si>
  <si>
    <t>تطبق مؤسستنا إجراءات واضحة وموثقة في مجال ضمان جودة البرامج، وتنفذها بانتظام وتتابع نتائجها.</t>
  </si>
  <si>
    <t>تراجع مؤسستنا ممارسات ضمان جودة البرامج باستمرار، وتحلل النتائج والتغذية الراجعة وتستخدمها للتطوير واتخاذ القرارات.</t>
  </si>
  <si>
    <t>شمول الفئات المهمشة والأكثر عرضة للتهميش</t>
  </si>
  <si>
    <t>إلى أي مدى تصمم مؤسستك برامج تعلم كبار شاملة تستجيب لاحتياجات النساء واللاجئين والأشخاص ذوي الإعاقة وذوي الدخل المحدود وغيرهم؟</t>
  </si>
  <si>
    <t>لا تطبق مؤسستنا ممارسات واضحة في مجال شمول الفئات المهمشة والأكثر عرضة للتهميش، وتتعامل معه عند الحاجة فقط.</t>
  </si>
  <si>
    <t>بدأت مؤسستنا باتخاذ خطوات بسيطة في مجال شمول الفئات المهمشة والأكثر عرضة للتهميش، لكنها ما تزال محدودة وغير منتظمة.</t>
  </si>
  <si>
    <t>تطبق مؤسستنا ممارسات أساسية وواضحة في مجال شمول الفئات المهمشة والأكثر عرضة للتهميش، لكنها لا تنفذها أو توثقها بشكل منتظم بالكامل.</t>
  </si>
  <si>
    <t>تطبق مؤسستنا إجراءات واضحة وموثقة في مجال شمول الفئات المهمشة والأكثر عرضة للتهميش، وتنفذها بانتظام وتتابع نتائجها.</t>
  </si>
  <si>
    <t>تراجع مؤسستنا ممارسات شمول الفئات المهمشة والأكثر عرضة للتهميش باستمرار، وتحلل النتائج والتغذية الراجعة وتستخدمها للتطوير واتخاذ القرارات.</t>
  </si>
  <si>
    <t>البرامج التعليمية، التنوع، هيكلة البرامج</t>
  </si>
  <si>
    <t>المناهج، تقييم الجودة، مراجعة المحتوى</t>
  </si>
  <si>
    <t>وجاهي، رقمي، مدمج</t>
  </si>
  <si>
    <t>سهولة الوصول، العوائق، الترتيبات التيسيرية</t>
  </si>
  <si>
    <t>التغذية الراجعة، رضا المشاركين، التحسين</t>
  </si>
  <si>
    <t>التوجيه، الإرشاد المهني، المسار التعليمي</t>
  </si>
  <si>
    <t>خطة الدورة، الجدول الزمني، انتظام التنفيذ</t>
  </si>
  <si>
    <t>ضمان الجودة، المعايير، نتائج التعلم</t>
  </si>
  <si>
    <t>الشمول، الفئات المهمشة، إمكانية الوصول</t>
  </si>
  <si>
    <t>البحث المجتمعي والتواصل</t>
  </si>
  <si>
    <t>تحديد احتياجات الفئات المستهدفة</t>
  </si>
  <si>
    <t>إلى أي مدى تحدد مؤسستك احتياجات وتفضيلات الفئات المستهدفة من خلال البحث والمشاركة المجتمعية؟</t>
  </si>
  <si>
    <t>لا تطبق مؤسستنا ممارسات واضحة في مجال تحديد احتياجات الفئات المستهدفة، وتتعامل معه عند الحاجة فقط.</t>
  </si>
  <si>
    <t>بدأت مؤسستنا باتخاذ خطوات بسيطة في مجال تحديد احتياجات الفئات المستهدفة، لكنها ما تزال محدودة وغير منتظمة.</t>
  </si>
  <si>
    <t>تطبق مؤسستنا ممارسات أساسية وواضحة في مجال تحديد احتياجات الفئات المستهدفة، لكنها لا تنفذها أو توثقها بشكل منتظم بالكامل.</t>
  </si>
  <si>
    <t>تطبق مؤسستنا إجراءات واضحة وموثقة في مجال تحديد احتياجات الفئات المستهدفة، وتنفذها بانتظام وتتابع نتائجها.</t>
  </si>
  <si>
    <t>تراجع مؤسستنا ممارسات تحديد احتياجات الفئات المستهدفة باستمرار، وتحلل النتائج والتغذية الراجعة وتستخدمها للتطوير واتخاذ القرارات.</t>
  </si>
  <si>
    <t>حملات الوصول والاستقطاب</t>
  </si>
  <si>
    <t>إلى أي مدى تنفذ مؤسستك حملات موجهة لزيادة الوعي ببرامجها وتشجيع التسجيل فيها؟</t>
  </si>
  <si>
    <t>لا تطبق مؤسستنا ممارسات واضحة في مجال حملات الوصول والاستقطاب، وتتعامل معه عند الحاجة فقط.</t>
  </si>
  <si>
    <t>بدأت مؤسستنا باتخاذ خطوات بسيطة في مجال حملات الوصول والاستقطاب، لكنها ما تزال محدودة وغير منتظمة.</t>
  </si>
  <si>
    <t>تطبق مؤسستنا ممارسات أساسية وواضحة في مجال حملات الوصول والاستقطاب، لكنها لا تنفذها أو توثقها بشكل منتظم بالكامل.</t>
  </si>
  <si>
    <t>تطبق مؤسستنا إجراءات واضحة وموثقة في مجال حملات الوصول والاستقطاب، وتنفذها بانتظام وتتابع نتائجها.</t>
  </si>
  <si>
    <t>تراجع مؤسستنا ممارسات حملات الوصول والاستقطاب باستمرار، وتحلل النتائج والتغذية الراجعة وتستخدمها للتطوير واتخاذ القرارات.</t>
  </si>
  <si>
    <t>دعم المتعلمين واستمرارهم</t>
  </si>
  <si>
    <t>إلى أي مدى تدعم مؤسستك المتعلمين خلال رحلتهم التعليمية لمساعدتهم على النجاح وإكمال البرامج؟</t>
  </si>
  <si>
    <t>لا تطبق مؤسستنا ممارسات واضحة في مجال دعم المتعلمين واستمرارهم، وتتعامل معه عند الحاجة فقط.</t>
  </si>
  <si>
    <t>بدأت مؤسستنا باتخاذ خطوات بسيطة في مجال دعم المتعلمين واستمرارهم، لكنها ما تزال محدودة وغير منتظمة.</t>
  </si>
  <si>
    <t>تطبق مؤسستنا ممارسات أساسية وواضحة في مجال دعم المتعلمين واستمرارهم، لكنها لا تنفذها أو توثقها بشكل منتظم بالكامل.</t>
  </si>
  <si>
    <t>تطبق مؤسستنا إجراءات واضحة وموثقة في مجال دعم المتعلمين واستمرارهم، وتنفذها بانتظام وتتابع نتائجها.</t>
  </si>
  <si>
    <t>تراجع مؤسستنا ممارسات دعم المتعلمين واستمرارهم باستمرار، وتحلل النتائج والتغذية الراجعة وتستخدمها للتطوير واتخاذ القرارات.</t>
  </si>
  <si>
    <t>قياس نتائج المشاركين</t>
  </si>
  <si>
    <t>إلى أي مدى تتابع مؤسستك نتائج المشاركين وتقيسها لإظهار فعالية البرامج التعليمية؟</t>
  </si>
  <si>
    <t>لا تطبق مؤسستنا ممارسات واضحة في مجال قياس نتائج المشاركين، وتتعامل معه عند الحاجة فقط.</t>
  </si>
  <si>
    <t>بدأت مؤسستنا باتخاذ خطوات بسيطة في مجال قياس نتائج المشاركين، لكنها ما تزال محدودة وغير منتظمة.</t>
  </si>
  <si>
    <t>تطبق مؤسستنا ممارسات أساسية وواضحة في مجال قياس نتائج المشاركين، لكنها لا تنفذها أو توثقها بشكل منتظم بالكامل.</t>
  </si>
  <si>
    <t>تطبق مؤسستنا إجراءات واضحة وموثقة في مجال قياس نتائج المشاركين، وتنفذها بانتظام وتتابع نتائجها.</t>
  </si>
  <si>
    <t>تراجع مؤسستنا ممارسات قياس نتائج المشاركين باستمرار، وتحلل النتائج والتغذية الراجعة وتستخدمها للتطوير واتخاذ القرارات.</t>
  </si>
  <si>
    <t>مشاركة الخريجين في تنمية المجتمع</t>
  </si>
  <si>
    <t>إلى أي مدى تشجع مؤسستك الخريجين وتدعمهم للمشاركة في أنشطة تخدم تنمية المجتمع؟</t>
  </si>
  <si>
    <t>لا تطبق مؤسستنا ممارسات واضحة في مجال مشاركة الخريجين في تنمية المجتمع، وتتعامل معه عند الحاجة فقط.</t>
  </si>
  <si>
    <t>بدأت مؤسستنا باتخاذ خطوات بسيطة في مجال مشاركة الخريجين في تنمية المجتمع، لكنها ما تزال محدودة وغير منتظمة.</t>
  </si>
  <si>
    <t>تطبق مؤسستنا ممارسات أساسية وواضحة في مجال مشاركة الخريجين في تنمية المجتمع، لكنها لا تنفذها أو توثقها بشكل منتظم بالكامل.</t>
  </si>
  <si>
    <t>تطبق مؤسستنا إجراءات واضحة وموثقة في مجال مشاركة الخريجين في تنمية المجتمع، وتنفذها بانتظام وتتابع نتائجها.</t>
  </si>
  <si>
    <t>تراجع مؤسستنا ممارسات مشاركة الخريجين في تنمية المجتمع باستمرار، وتحلل النتائج والتغذية الراجعة وتستخدمها للتطوير واتخاذ القرارات.</t>
  </si>
  <si>
    <t>الترويج للبرامج التعليمية</t>
  </si>
  <si>
    <t>إلى أي مدى تروج مؤسستك لبرامجها التعليمية وتوضح قيمتها لجذب المشاركين؟</t>
  </si>
  <si>
    <t>لا تطبق مؤسستنا ممارسات واضحة في مجال الترويج للبرامج التعليمية، وتتعامل معه عند الحاجة فقط.</t>
  </si>
  <si>
    <t>بدأت مؤسستنا باتخاذ خطوات بسيطة في مجال الترويج للبرامج التعليمية، لكنها ما تزال محدودة وغير منتظمة.</t>
  </si>
  <si>
    <t>تطبق مؤسستنا ممارسات أساسية وواضحة في مجال الترويج للبرامج التعليمية، لكنها لا تنفذها أو توثقها بشكل منتظم بالكامل.</t>
  </si>
  <si>
    <t>تطبق مؤسستنا إجراءات واضحة وموثقة في مجال الترويج للبرامج التعليمية، وتنفذها بانتظام وتتابع نتائجها.</t>
  </si>
  <si>
    <t>تراجع مؤسستنا ممارسات الترويج للبرامج التعليمية باستمرار، وتحلل النتائج والتغذية الراجعة وتستخدمها للتطوير واتخاذ القرارات.</t>
  </si>
  <si>
    <t>إشراك المجتمع في تطوير البرامج</t>
  </si>
  <si>
    <t>إلى أي مدى تجمع مؤسستك آراء المجتمع وتستخدمها في تطوير البرامج؟</t>
  </si>
  <si>
    <t>لا تطبق مؤسستنا ممارسات واضحة في مجال إشراك المجتمع في تطوير البرامج، وتتعامل معه عند الحاجة فقط.</t>
  </si>
  <si>
    <t>بدأت مؤسستنا باتخاذ خطوات بسيطة في مجال إشراك المجتمع في تطوير البرامج، لكنها ما تزال محدودة وغير منتظمة.</t>
  </si>
  <si>
    <t>تطبق مؤسستنا ممارسات أساسية وواضحة في مجال إشراك المجتمع في تطوير البرامج، لكنها لا تنفذها أو توثقها بشكل منتظم بالكامل.</t>
  </si>
  <si>
    <t>تطبق مؤسستنا إجراءات واضحة وموثقة في مجال إشراك المجتمع في تطوير البرامج، وتنفذها بانتظام وتتابع نتائجها.</t>
  </si>
  <si>
    <t>تراجع مؤسستنا ممارسات إشراك المجتمع في تطوير البرامج باستمرار، وتحلل النتائج والتغذية الراجعة وتستخدمها للتطوير واتخاذ القرارات.</t>
  </si>
  <si>
    <t>البحث المجتمعي، الاحتياجات، الفئات المستهدفة</t>
  </si>
  <si>
    <t>الوصول، الاستقطاب، التسجيل</t>
  </si>
  <si>
    <t>دعم المتعلمين، الاستمرار، إكمال البرنامج</t>
  </si>
  <si>
    <t>النتائج، المتابعة، فعالية البرامج</t>
  </si>
  <si>
    <t>الخريجون، المشاركة المجتمعية، تنمية المجتمع</t>
  </si>
  <si>
    <t>الترويج، القيمة المضافة، استقطاب المشاركين</t>
  </si>
  <si>
    <t>مشاركة المجتمع، التغذية الراجعة، تطوير البرامج</t>
  </si>
  <si>
    <t>التواصل والمناصرة</t>
  </si>
  <si>
    <t>خطة التواصل</t>
  </si>
  <si>
    <t>إلى أي مدى تضع مؤسستك خطة واضحة للتواصل مع الجمهور وأصحاب المصلحة وتستخدمها؟</t>
  </si>
  <si>
    <t>لا تطبق مؤسستنا ممارسات واضحة في مجال خطة التواصل، وتتعامل معه عند الحاجة فقط.</t>
  </si>
  <si>
    <t>بدأت مؤسستنا باتخاذ خطوات بسيطة في مجال خطة التواصل، لكنها ما تزال محدودة وغير منتظمة.</t>
  </si>
  <si>
    <t>تطبق مؤسستنا ممارسات أساسية وواضحة في مجال خطة التواصل، لكنها لا تنفذها أو توثقها بشكل منتظم بالكامل.</t>
  </si>
  <si>
    <t>تطبق مؤسستنا إجراءات واضحة وموثقة في مجال خطة التواصل، وتنفذها بانتظام وتتابع نتائجها.</t>
  </si>
  <si>
    <t>تراجع مؤسستنا ممارسات خطة التواصل باستمرار، وتحلل النتائج والتغذية الراجعة وتستخدمها للتطوير واتخاذ القرارات.</t>
  </si>
  <si>
    <t>التواصل الداخلي</t>
  </si>
  <si>
    <t>إلى أي مدى تُبقي مؤسستك العاملين والمدربين على اطلاع وتشركهم من خلال تواصل داخلي فعال؟</t>
  </si>
  <si>
    <t>لا تطبق مؤسستنا ممارسات واضحة في مجال التواصل الداخلي، وتتعامل معه عند الحاجة فقط.</t>
  </si>
  <si>
    <t>بدأت مؤسستنا باتخاذ خطوات بسيطة في مجال التواصل الداخلي، لكنها ما تزال محدودة وغير منتظمة.</t>
  </si>
  <si>
    <t>تطبق مؤسستنا ممارسات أساسية وواضحة في مجال التواصل الداخلي، لكنها لا تنفذها أو توثقها بشكل منتظم بالكامل.</t>
  </si>
  <si>
    <t>تطبق مؤسستنا إجراءات واضحة وموثقة في مجال التواصل الداخلي، وتنفذها بانتظام وتتابع نتائجها.</t>
  </si>
  <si>
    <t>تراجع مؤسستنا ممارسات التواصل الداخلي باستمرار، وتحلل النتائج والتغذية الراجعة وتستخدمها للتطوير واتخاذ القرارات.</t>
  </si>
  <si>
    <t>تحسين الصورة العامة لتعلم الكبار</t>
  </si>
  <si>
    <t>إلى أي مدى تعمل مؤسستك على تحسين نظرة الجمهور لتعلم وتعليم الكبار من خلال الحملات والتواصل مع الإعلام؟</t>
  </si>
  <si>
    <t>لا تطبق مؤسستنا ممارسات واضحة في مجال تحسين الصورة العامة لتعلم الكبار، وتتعامل معه عند الحاجة فقط.</t>
  </si>
  <si>
    <t>بدأت مؤسستنا باتخاذ خطوات بسيطة في مجال تحسين الصورة العامة لتعلم الكبار، لكنها ما تزال محدودة وغير منتظمة.</t>
  </si>
  <si>
    <t>تطبق مؤسستنا ممارسات أساسية وواضحة في مجال تحسين الصورة العامة لتعلم الكبار، لكنها لا تنفذها أو توثقها بشكل منتظم بالكامل.</t>
  </si>
  <si>
    <t>تطبق مؤسستنا إجراءات واضحة وموثقة في مجال تحسين الصورة العامة لتعلم الكبار، وتنفذها بانتظام وتتابع نتائجها.</t>
  </si>
  <si>
    <t>تراجع مؤسستنا ممارسات تحسين الصورة العامة لتعلم الكبار باستمرار، وتحلل النتائج والتغذية الراجعة وتستخدمها للتطوير واتخاذ القرارات.</t>
  </si>
  <si>
    <t>استخدام الأدوات الرقمية</t>
  </si>
  <si>
    <t>إلى أي مدى تستخدم مؤسستك وسائل التواصل الاجتماعي والموقع الإلكتروني والأدوات الرقمية للوصول إلى الجمهور؟</t>
  </si>
  <si>
    <t>لا تطبق مؤسستنا ممارسات واضحة في مجال استخدام الأدوات الرقمية، وتتعامل معه عند الحاجة فقط.</t>
  </si>
  <si>
    <t>بدأت مؤسستنا باتخاذ خطوات بسيطة في مجال استخدام الأدوات الرقمية، لكنها ما تزال محدودة وغير منتظمة.</t>
  </si>
  <si>
    <t>تطبق مؤسستنا ممارسات أساسية وواضحة في مجال استخدام الأدوات الرقمية، لكنها لا تنفذها أو توثقها بشكل منتظم بالكامل.</t>
  </si>
  <si>
    <t>تطبق مؤسستنا إجراءات واضحة وموثقة في مجال استخدام الأدوات الرقمية، وتنفذها بانتظام وتتابع نتائجها.</t>
  </si>
  <si>
    <t>تراجع مؤسستنا ممارسات استخدام الأدوات الرقمية باستمرار، وتحلل النتائج والتغذية الراجعة وتستخدمها للتطوير واتخاذ القرارات.</t>
  </si>
  <si>
    <t>استخدام التغذية الراجعة لتحسين التواصل</t>
  </si>
  <si>
    <t>إلى أي مدى تجمع مؤسستك التغذية الراجعة وتستخدمها لتحسين التواصل والمشاركة؟</t>
  </si>
  <si>
    <t>لا تطبق مؤسستنا ممارسات واضحة في مجال استخدام التغذية الراجعة لتحسين التواصل، وتتعامل معه عند الحاجة فقط.</t>
  </si>
  <si>
    <t>بدأت مؤسستنا باتخاذ خطوات بسيطة في مجال استخدام التغذية الراجعة لتحسين التواصل، لكنها ما تزال محدودة وغير منتظمة.</t>
  </si>
  <si>
    <t>تطبق مؤسستنا ممارسات أساسية وواضحة في مجال استخدام التغذية الراجعة لتحسين التواصل، لكنها لا تنفذها أو توثقها بشكل منتظم بالكامل.</t>
  </si>
  <si>
    <t>تطبق مؤسستنا إجراءات واضحة وموثقة في مجال استخدام التغذية الراجعة لتحسين التواصل، وتنفذها بانتظام وتتابع نتائجها.</t>
  </si>
  <si>
    <t>تراجع مؤسستنا ممارسات استخدام التغذية الراجعة لتحسين التواصل باستمرار، وتحلل النتائج والتغذية الراجعة وتستخدمها للتطوير واتخاذ القرارات.</t>
  </si>
  <si>
    <t>الشفافية في التواصل</t>
  </si>
  <si>
    <t>إلى أي مدى تضمن مؤسستك أن يكون تواصلها واضحًا وصادقًا وشفافًا بما يعزز الثقة؟</t>
  </si>
  <si>
    <t>لا تطبق مؤسستنا ممارسات واضحة في مجال الشفافية في التواصل، وتتعامل معه عند الحاجة فقط.</t>
  </si>
  <si>
    <t>بدأت مؤسستنا باتخاذ خطوات بسيطة في مجال الشفافية في التواصل، لكنها ما تزال محدودة وغير منتظمة.</t>
  </si>
  <si>
    <t>تطبق مؤسستنا ممارسات أساسية وواضحة في مجال الشفافية في التواصل، لكنها لا تنفذها أو توثقها بشكل منتظم بالكامل.</t>
  </si>
  <si>
    <t>تطبق مؤسستنا إجراءات واضحة وموثقة في مجال الشفافية في التواصل، وتنفذها بانتظام وتتابع نتائجها.</t>
  </si>
  <si>
    <t>تراجع مؤسستنا ممارسات الشفافية في التواصل باستمرار، وتحلل النتائج والتغذية الراجعة وتستخدمها للتطوير واتخاذ القرارات.</t>
  </si>
  <si>
    <t>خطة التواصل، الجمهور المستهدف، الرسائل</t>
  </si>
  <si>
    <t>التواصل الداخلي، مشاركة المعلومات، الفريق</t>
  </si>
  <si>
    <t>الحملات، الإعلام، الصورة العامة</t>
  </si>
  <si>
    <t>وسائل التواصل الاجتماعي، الموقع الإلكتروني، الوصول الرقمي</t>
  </si>
  <si>
    <t>التغذية الراجعة، المشاركة، تحسين التواصل</t>
  </si>
  <si>
    <t>الشفافية، الثقة، الإفصاح</t>
  </si>
  <si>
    <t>الموارد البشرية</t>
  </si>
  <si>
    <t>تحديد الأدوار والمسؤوليات</t>
  </si>
  <si>
    <t>إلى أي مدى تحدد مؤسستك أدوار العاملين ومسؤولياتهم وتوثقها؟</t>
  </si>
  <si>
    <t>لا تطبق مؤسستنا ممارسات واضحة في مجال تحديد الأدوار والمسؤوليات، وتتعامل معه عند الحاجة فقط.</t>
  </si>
  <si>
    <t>بدأت مؤسستنا باتخاذ خطوات بسيطة في مجال تحديد الأدوار والمسؤوليات، لكنها ما تزال محدودة وغير منتظمة.</t>
  </si>
  <si>
    <t>تطبق مؤسستنا ممارسات أساسية وواضحة في مجال تحديد الأدوار والمسؤوليات، لكنها لا تنفذها أو توثقها بشكل منتظم بالكامل.</t>
  </si>
  <si>
    <t>تطبق مؤسستنا إجراءات واضحة وموثقة في مجال تحديد الأدوار والمسؤوليات، وتنفذها بانتظام وتتابع نتائجها.</t>
  </si>
  <si>
    <t>تراجع مؤسستنا ممارسات تحديد الأدوار والمسؤوليات باستمرار، وتحلل النتائج والتغذية الراجعة وتستخدمها للتطوير واتخاذ القرارات.</t>
  </si>
  <si>
    <t>التوظيف والاختيار</t>
  </si>
  <si>
    <t>إلى أي مدى تطبق مؤسستك إجراءات واضحة ومنظمة لاستقطاب العاملين واختيارهم وتوظيفهم؟</t>
  </si>
  <si>
    <t>لا تطبق مؤسستنا ممارسات واضحة في مجال التوظيف والاختيار، وتتعامل معه عند الحاجة فقط.</t>
  </si>
  <si>
    <t>بدأت مؤسستنا باتخاذ خطوات بسيطة في مجال التوظيف والاختيار، لكنها ما تزال محدودة وغير منتظمة.</t>
  </si>
  <si>
    <t>تطبق مؤسستنا ممارسات أساسية وواضحة في مجال التوظيف والاختيار، لكنها لا تنفذها أو توثقها بشكل منتظم بالكامل.</t>
  </si>
  <si>
    <t>تطبق مؤسستنا إجراءات واضحة وموثقة في مجال التوظيف والاختيار، وتنفذها بانتظام وتتابع نتائجها.</t>
  </si>
  <si>
    <t>تراجع مؤسستنا ممارسات التوظيف والاختيار باستمرار، وتحلل النتائج والتغذية الراجعة وتستخدمها للتطوير واتخاذ القرارات.</t>
  </si>
  <si>
    <t>التطوير المهني</t>
  </si>
  <si>
    <t>إلى أي مدى توفر مؤسستك فرص التطوير المهني للعاملين والمدربين؟</t>
  </si>
  <si>
    <t>لا تطبق مؤسستنا ممارسات واضحة في مجال التطوير المهني، وتتعامل معه عند الحاجة فقط.</t>
  </si>
  <si>
    <t>بدأت مؤسستنا باتخاذ خطوات بسيطة في مجال التطوير المهني، لكنها ما تزال محدودة وغير منتظمة.</t>
  </si>
  <si>
    <t>تطبق مؤسستنا ممارسات أساسية وواضحة في مجال التطوير المهني، لكنها لا تنفذها أو توثقها بشكل منتظم بالكامل.</t>
  </si>
  <si>
    <t>تطبق مؤسستنا إجراءات واضحة وموثقة في مجال التطوير المهني، وتنفذها بانتظام وتتابع نتائجها.</t>
  </si>
  <si>
    <t>تراجع مؤسستنا ممارسات التطوير المهني باستمرار، وتحلل النتائج والتغذية الراجعة وتستخدمها للتطوير واتخاذ القرارات.</t>
  </si>
  <si>
    <t>تقييم الأداء</t>
  </si>
  <si>
    <t>إلى أي مدى تقيّم مؤسستك أداء العاملين وتستخدم النتائج لتطويرهم؟</t>
  </si>
  <si>
    <t>لا تطبق مؤسستنا ممارسات واضحة في مجال تقييم الأداء، وتتعامل معه عند الحاجة فقط.</t>
  </si>
  <si>
    <t>بدأت مؤسستنا باتخاذ خطوات بسيطة في مجال تقييم الأداء، لكنها ما تزال محدودة وغير منتظمة.</t>
  </si>
  <si>
    <t>تطبق مؤسستنا ممارسات أساسية وواضحة في مجال تقييم الأداء، لكنها لا تنفذها أو توثقها بشكل منتظم بالكامل.</t>
  </si>
  <si>
    <t>تطبق مؤسستنا إجراءات واضحة وموثقة في مجال تقييم الأداء، وتنفذها بانتظام وتتابع نتائجها.</t>
  </si>
  <si>
    <t>تراجع مؤسستنا ممارسات تقييم الأداء باستمرار، وتحلل النتائج والتغذية الراجعة وتستخدمها للتطوير واتخاذ القرارات.</t>
  </si>
  <si>
    <t>إشراك المتطوعين</t>
  </si>
  <si>
    <t>إلى أي مدى تستقطب مؤسستك المتطوعين وتنظم مشاركتهم وتدعم استمرارهم؟</t>
  </si>
  <si>
    <t>لا تطبق مؤسستنا ممارسات واضحة في مجال إشراك المتطوعين، وتتعامل معه عند الحاجة فقط.</t>
  </si>
  <si>
    <t>بدأت مؤسستنا باتخاذ خطوات بسيطة في مجال إشراك المتطوعين، لكنها ما تزال محدودة وغير منتظمة.</t>
  </si>
  <si>
    <t>تطبق مؤسستنا ممارسات أساسية وواضحة في مجال إشراك المتطوعين، لكنها لا تنفذها أو توثقها بشكل منتظم بالكامل.</t>
  </si>
  <si>
    <t>تطبق مؤسستنا إجراءات واضحة وموثقة في مجال إشراك المتطوعين، وتنفذها بانتظام وتتابع نتائجها.</t>
  </si>
  <si>
    <t>تراجع مؤسستنا ممارسات إشراك المتطوعين باستمرار، وتحلل النتائج والتغذية الراجعة وتستخدمها للتطوير واتخاذ القرارات.</t>
  </si>
  <si>
    <t>الرضا الوظيفي والرفاه</t>
  </si>
  <si>
    <t>إلى أي مدى تهتم مؤسستك برضا العاملين ورفاههم وتستجيب لاحتياجاتهم؟</t>
  </si>
  <si>
    <t>لا تطبق مؤسستنا ممارسات واضحة في مجال الرضا الوظيفي والرفاه، وتتعامل معه عند الحاجة فقط.</t>
  </si>
  <si>
    <t>بدأت مؤسستنا باتخاذ خطوات بسيطة في مجال الرضا الوظيفي والرفاه، لكنها ما تزال محدودة وغير منتظمة.</t>
  </si>
  <si>
    <t>تطبق مؤسستنا ممارسات أساسية وواضحة في مجال الرضا الوظيفي والرفاه، لكنها لا تنفذها أو توثقها بشكل منتظم بالكامل.</t>
  </si>
  <si>
    <t>تطبق مؤسستنا إجراءات واضحة وموثقة في مجال الرضا الوظيفي والرفاه، وتنفذها بانتظام وتتابع نتائجها.</t>
  </si>
  <si>
    <t>تراجع مؤسستنا ممارسات الرضا الوظيفي والرفاه باستمرار، وتحلل النتائج والتغذية الراجعة وتستخدمها للتطوير واتخاذ القرارات.</t>
  </si>
  <si>
    <t>الوصف الوظيفي، الأدوار، المسؤوليات</t>
  </si>
  <si>
    <t>التوظيف، الاختيار، إجراءات الاستقطاب</t>
  </si>
  <si>
    <t>التطوير المهني، التدريب، بناء القدرات</t>
  </si>
  <si>
    <t>تقييم الأداء، التغذية الراجعة، التطوير</t>
  </si>
  <si>
    <t>المتطوعون، الاستقطاب، إدارة التطوع</t>
  </si>
  <si>
    <t>الرضا الوظيفي، الرفاه، بيئة العمل</t>
  </si>
  <si>
    <t>جمع التمويل وكتابة المشاريع</t>
  </si>
  <si>
    <t>تنويع مصادر التمويل</t>
  </si>
  <si>
    <t>إلى أي مدى تنوع مؤسستك مصادر التمويل ولا تعتمد على مصدر واحد؟</t>
  </si>
  <si>
    <t>لا تطبق مؤسستنا ممارسات واضحة في مجال تنويع مصادر التمويل، وتتعامل معه عند الحاجة فقط.</t>
  </si>
  <si>
    <t>بدأت مؤسستنا باتخاذ خطوات بسيطة في مجال تنويع مصادر التمويل، لكنها ما تزال محدودة وغير منتظمة.</t>
  </si>
  <si>
    <t>تطبق مؤسستنا ممارسات أساسية وواضحة في مجال تنويع مصادر التمويل، لكنها لا تنفذها أو توثقها بشكل منتظم بالكامل.</t>
  </si>
  <si>
    <t>تطبق مؤسستنا إجراءات واضحة وموثقة في مجال تنويع مصادر التمويل، وتنفذها بانتظام وتتابع نتائجها.</t>
  </si>
  <si>
    <t>تراجع مؤسستنا ممارسات تنويع مصادر التمويل باستمرار، وتحلل النتائج والتغذية الراجعة وتستخدمها للتطوير واتخاذ القرارات.</t>
  </si>
  <si>
    <t>إدارة علاقات المانحين</t>
  </si>
  <si>
    <t>إلى أي مدى تدير مؤسستك علاقاتها مع المانحين والداعمين وتحافظ عليها؟</t>
  </si>
  <si>
    <t>لا تطبق مؤسستنا ممارسات واضحة في مجال إدارة علاقات المانحين، وتتعامل معه عند الحاجة فقط.</t>
  </si>
  <si>
    <t>بدأت مؤسستنا باتخاذ خطوات بسيطة في مجال إدارة علاقات المانحين، لكنها ما تزال محدودة وغير منتظمة.</t>
  </si>
  <si>
    <t>تطبق مؤسستنا ممارسات أساسية وواضحة في مجال إدارة علاقات المانحين، لكنها لا تنفذها أو توثقها بشكل منتظم بالكامل.</t>
  </si>
  <si>
    <t>تطبق مؤسستنا إجراءات واضحة وموثقة في مجال إدارة علاقات المانحين، وتنفذها بانتظام وتتابع نتائجها.</t>
  </si>
  <si>
    <t>تراجع مؤسستنا ممارسات إدارة علاقات المانحين باستمرار، وتحلل النتائج والتغذية الراجعة وتستخدمها للتطوير واتخاذ القرارات.</t>
  </si>
  <si>
    <t>كتابة المنح والمقترحات</t>
  </si>
  <si>
    <t>إلى أي مدى تمتلك مؤسستك القدرة على إعداد وكتابة مقترحات المشاريع وطلبات المنح؟</t>
  </si>
  <si>
    <t>لا تطبق مؤسستنا ممارسات واضحة في مجال كتابة المنح والمقترحات، وتتعامل معه عند الحاجة فقط.</t>
  </si>
  <si>
    <t>بدأت مؤسستنا باتخاذ خطوات بسيطة في مجال كتابة المنح والمقترحات، لكنها ما تزال محدودة وغير منتظمة.</t>
  </si>
  <si>
    <t>تطبق مؤسستنا ممارسات أساسية وواضحة في مجال كتابة المنح والمقترحات، لكنها لا تنفذها أو توثقها بشكل منتظم بالكامل.</t>
  </si>
  <si>
    <t>تطبق مؤسستنا إجراءات واضحة وموثقة في مجال كتابة المنح والمقترحات، وتنفذها بانتظام وتتابع نتائجها.</t>
  </si>
  <si>
    <t>تراجع مؤسستنا ممارسات كتابة المنح والمقترحات باستمرار، وتحلل النتائج والتغذية الراجعة وتستخدمها للتطوير واتخاذ القرارات.</t>
  </si>
  <si>
    <t>التخطيط المالي طويل المدى</t>
  </si>
  <si>
    <t>إلى أي مدى تربط مؤسستك جهود جمع التمويل بخططها المالية طويلة المدى؟</t>
  </si>
  <si>
    <t>لا تطبق مؤسستنا ممارسات واضحة في مجال التخطيط المالي طويل المدى، وتتعامل معه عند الحاجة فقط.</t>
  </si>
  <si>
    <t>بدأت مؤسستنا باتخاذ خطوات بسيطة في مجال التخطيط المالي طويل المدى، لكنها ما تزال محدودة وغير منتظمة.</t>
  </si>
  <si>
    <t>تطبق مؤسستنا ممارسات أساسية وواضحة في مجال التخطيط المالي طويل المدى، لكنها لا تنفذها أو توثقها بشكل منتظم بالكامل.</t>
  </si>
  <si>
    <t>تطبق مؤسستنا إجراءات واضحة وموثقة في مجال التخطيط المالي طويل المدى، وتنفذها بانتظام وتتابع نتائجها.</t>
  </si>
  <si>
    <t>تراجع مؤسستنا ممارسات التخطيط المالي طويل المدى باستمرار، وتحلل النتائج والتغذية الراجعة وتستخدمها للتطوير واتخاذ القرارات.</t>
  </si>
  <si>
    <t>تطوير قدرات الفريق في جمع التمويل</t>
  </si>
  <si>
    <t>إلى أي مدى تطور مؤسستك مهارات العاملين في جمع التمويل وكتابة المقترحات؟</t>
  </si>
  <si>
    <t>لا تطبق مؤسستنا ممارسات واضحة في مجال تطوير قدرات الفريق في جمع التمويل، وتتعامل معه عند الحاجة فقط.</t>
  </si>
  <si>
    <t>بدأت مؤسستنا باتخاذ خطوات بسيطة في مجال تطوير قدرات الفريق في جمع التمويل، لكنها ما تزال محدودة وغير منتظمة.</t>
  </si>
  <si>
    <t>تطبق مؤسستنا ممارسات أساسية وواضحة في مجال تطوير قدرات الفريق في جمع التمويل، لكنها لا تنفذها أو توثقها بشكل منتظم بالكامل.</t>
  </si>
  <si>
    <t>تطبق مؤسستنا إجراءات واضحة وموثقة في مجال تطوير قدرات الفريق في جمع التمويل، وتنفذها بانتظام وتتابع نتائجها.</t>
  </si>
  <si>
    <t>تراجع مؤسستنا ممارسات تطوير قدرات الفريق في جمع التمويل باستمرار، وتحلل النتائج والتغذية الراجعة وتستخدمها للتطوير واتخاذ القرارات.</t>
  </si>
  <si>
    <t>مصادر التمويل، التنويع، الاستدامة المالية</t>
  </si>
  <si>
    <t>المانحون، الداعمون، إدارة العلاقات</t>
  </si>
  <si>
    <t>كتابة المقترحات، المنح، فرص التمويل</t>
  </si>
  <si>
    <t>التخطيط المالي، جمع التمويل، الاستدامة</t>
  </si>
  <si>
    <t>بناء القدرات، جمع التمويل، كتابة المشاريع</t>
  </si>
  <si>
    <t>البنية التحتية والمعدات والتكنولوجيا</t>
  </si>
  <si>
    <t>إدارة البنية التحتية</t>
  </si>
  <si>
    <t>إلى أي مدى تدير مؤسستك المباني والمرافق والأصول المادية بصورة منظمة؟</t>
  </si>
  <si>
    <t>لا تطبق مؤسستنا ممارسات واضحة في مجال إدارة البنية التحتية، وتتعامل معه عند الحاجة فقط.</t>
  </si>
  <si>
    <t>بدأت مؤسستنا باتخاذ خطوات بسيطة في مجال إدارة البنية التحتية، لكنها ما تزال محدودة وغير منتظمة.</t>
  </si>
  <si>
    <t>تطبق مؤسستنا ممارسات أساسية وواضحة في مجال إدارة البنية التحتية، لكنها لا تنفذها أو توثقها بشكل منتظم بالكامل.</t>
  </si>
  <si>
    <t>تطبق مؤسستنا إجراءات واضحة وموثقة في مجال إدارة البنية التحتية، وتنفذها بانتظام وتتابع نتائجها.</t>
  </si>
  <si>
    <t>تراجع مؤسستنا ممارسات إدارة البنية التحتية باستمرار، وتحلل النتائج والتغذية الراجعة وتستخدمها للتطوير واتخاذ القرارات.</t>
  </si>
  <si>
    <t>إدارة المعدات والتكنولوجيا</t>
  </si>
  <si>
    <t>إلى أي مدى تدير مؤسستك المعدات والأجهزة والتكنولوجيا وتتابع صيانتها واستخدامها؟</t>
  </si>
  <si>
    <t>لا تطبق مؤسستنا ممارسات واضحة في مجال إدارة المعدات والتكنولوجيا، وتتعامل معه عند الحاجة فقط.</t>
  </si>
  <si>
    <t>بدأت مؤسستنا باتخاذ خطوات بسيطة في مجال إدارة المعدات والتكنولوجيا، لكنها ما تزال محدودة وغير منتظمة.</t>
  </si>
  <si>
    <t>تطبق مؤسستنا ممارسات أساسية وواضحة في مجال إدارة المعدات والتكنولوجيا، لكنها لا تنفذها أو توثقها بشكل منتظم بالكامل.</t>
  </si>
  <si>
    <t>تطبق مؤسستنا إجراءات واضحة وموثقة في مجال إدارة المعدات والتكنولوجيا، وتنفذها بانتظام وتتابع نتائجها.</t>
  </si>
  <si>
    <t>تراجع مؤسستنا ممارسات إدارة المعدات والتكنولوجيا باستمرار، وتحلل النتائج والتغذية الراجعة وتستخدمها للتطوير واتخاذ القرارات.</t>
  </si>
  <si>
    <t>السلامة في المرافق</t>
  </si>
  <si>
    <t>إلى أي مدى تضمن مؤسستك سلامة العاملين والمتعلمين والزوار داخل مرافقها؟</t>
  </si>
  <si>
    <t>لا تطبق مؤسستنا ممارسات واضحة في مجال السلامة في المرافق، وتتعامل معه عند الحاجة فقط.</t>
  </si>
  <si>
    <t>بدأت مؤسستنا باتخاذ خطوات بسيطة في مجال السلامة في المرافق، لكنها ما تزال محدودة وغير منتظمة.</t>
  </si>
  <si>
    <t>تطبق مؤسستنا ممارسات أساسية وواضحة في مجال السلامة في المرافق، لكنها لا تنفذها أو توثقها بشكل منتظم بالكامل.</t>
  </si>
  <si>
    <t>تطبق مؤسستنا إجراءات واضحة وموثقة في مجال السلامة في المرافق، وتنفذها بانتظام وتتابع نتائجها.</t>
  </si>
  <si>
    <t>تراجع مؤسستنا ممارسات السلامة في المرافق باستمرار، وتحلل النتائج والتغذية الراجعة وتستخدمها للتطوير واتخاذ القرارات.</t>
  </si>
  <si>
    <t>الالتزام بالقوانين والأنظمة</t>
  </si>
  <si>
    <t>إلى أي مدى تلتزم مؤسستك بالقوانين والأنظمة المحلية المتعلقة بالمرافق والمعدات وأنظمة تكنولوجيا المعلومات؟</t>
  </si>
  <si>
    <t>لا تطبق مؤسستنا ممارسات واضحة في مجال الالتزام بالقوانين والأنظمة، وتتعامل معه عند الحاجة فقط.</t>
  </si>
  <si>
    <t>بدأت مؤسستنا باتخاذ خطوات بسيطة في مجال الالتزام بالقوانين والأنظمة، لكنها ما تزال محدودة وغير منتظمة.</t>
  </si>
  <si>
    <t>تطبق مؤسستنا ممارسات أساسية وواضحة في مجال الالتزام بالقوانين والأنظمة، لكنها لا تنفذها أو توثقها بشكل منتظم بالكامل.</t>
  </si>
  <si>
    <t>تطبق مؤسستنا إجراءات واضحة وموثقة في مجال الالتزام بالقوانين والأنظمة، وتنفذها بانتظام وتتابع نتائجها.</t>
  </si>
  <si>
    <t>تراجع مؤسستنا ممارسات الالتزام بالقوانين والأنظمة باستمرار، وتحلل النتائج والتغذية الراجعة وتستخدمها للتطوير واتخاذ القرارات.</t>
  </si>
  <si>
    <t>الراحة وسهولة الوصول</t>
  </si>
  <si>
    <t>إلى أي مدى توفر مؤسستك بيئة مريحة وآمنة وسهلة الوصول لمختلف الأشخاص، بمن فيهم الأشخاص ذوو الإعاقة؟</t>
  </si>
  <si>
    <t>لا تطبق مؤسستنا ممارسات واضحة في مجال الراحة وسهولة الوصول، وتتعامل معه عند الحاجة فقط.</t>
  </si>
  <si>
    <t>بدأت مؤسستنا باتخاذ خطوات بسيطة في مجال الراحة وسهولة الوصول، لكنها ما تزال محدودة وغير منتظمة.</t>
  </si>
  <si>
    <t>تطبق مؤسستنا ممارسات أساسية وواضحة في مجال الراحة وسهولة الوصول، لكنها لا تنفذها أو توثقها بشكل منتظم بالكامل.</t>
  </si>
  <si>
    <t>تطبق مؤسستنا إجراءات واضحة وموثقة في مجال الراحة وسهولة الوصول، وتنفذها بانتظام وتتابع نتائجها.</t>
  </si>
  <si>
    <t>تراجع مؤسستنا ممارسات الراحة وسهولة الوصول باستمرار، وتحلل النتائج والتغذية الراجعة وتستخدمها للتطوير واتخاذ القرارات.</t>
  </si>
  <si>
    <t>البنية التحتية، الأصول، الصيانة</t>
  </si>
  <si>
    <t>المعدات، التكنولوجيا، إدارة الأصول</t>
  </si>
  <si>
    <t>السلامة، المخاطر، إجراءات الطوارئ</t>
  </si>
  <si>
    <t>الامتثال، القوانين المحلية، تكنولوجيا المعلومات</t>
  </si>
  <si>
    <t>الراحة البيئية، سهولة الوصول، الترتيبات التيسيرية</t>
  </si>
  <si>
    <t>الإدارة المالية</t>
  </si>
  <si>
    <t>النظام المحاسبي</t>
  </si>
  <si>
    <t>إلى أي مدى تستخدم مؤسستك نظامًا واضحًا ومنظمًا لتسجيل العمليات المالية وإدارتها؟</t>
  </si>
  <si>
    <t>لا تطبق مؤسستنا ممارسات واضحة في مجال النظام المحاسبي، وتتعامل معه عند الحاجة فقط.</t>
  </si>
  <si>
    <t>بدأت مؤسستنا باتخاذ خطوات بسيطة في مجال النظام المحاسبي، لكنها ما تزال محدودة وغير منتظمة.</t>
  </si>
  <si>
    <t>تطبق مؤسستنا ممارسات أساسية وواضحة في مجال النظام المحاسبي، لكنها لا تنفذها أو توثقها بشكل منتظم بالكامل.</t>
  </si>
  <si>
    <t>تطبق مؤسستنا إجراءات واضحة وموثقة في مجال النظام المحاسبي، وتنفذها بانتظام وتتابع نتائجها.</t>
  </si>
  <si>
    <t>تراجع مؤسستنا ممارسات النظام المحاسبي باستمرار، وتحلل النتائج والتغذية الراجعة وتستخدمها للتطوير واتخاذ القرارات.</t>
  </si>
  <si>
    <t>الرقابة المالية والامتثال</t>
  </si>
  <si>
    <t>إلى أي مدى تطبق مؤسستك ضوابط مالية وتلتزم بالسياسات والمتطلبات المالية؟</t>
  </si>
  <si>
    <t>لا تطبق مؤسستنا ممارسات واضحة في مجال الرقابة المالية والامتثال، وتتعامل معه عند الحاجة فقط.</t>
  </si>
  <si>
    <t>بدأت مؤسستنا باتخاذ خطوات بسيطة في مجال الرقابة المالية والامتثال، لكنها ما تزال محدودة وغير منتظمة.</t>
  </si>
  <si>
    <t>تطبق مؤسستنا ممارسات أساسية وواضحة في مجال الرقابة المالية والامتثال، لكنها لا تنفذها أو توثقها بشكل منتظم بالكامل.</t>
  </si>
  <si>
    <t>تطبق مؤسستنا إجراءات واضحة وموثقة في مجال الرقابة المالية والامتثال، وتنفذها بانتظام وتتابع نتائجها.</t>
  </si>
  <si>
    <t>تراجع مؤسستنا ممارسات الرقابة المالية والامتثال باستمرار، وتحلل النتائج والتغذية الراجعة وتستخدمها للتطوير واتخاذ القرارات.</t>
  </si>
  <si>
    <t>التخطيط المالي وإعداد الموازنة</t>
  </si>
  <si>
    <t>إلى أي مدى تخطط مؤسستك ماليًا وتعد الموازنات وتتابع تنفيذها؟</t>
  </si>
  <si>
    <t>لا تطبق مؤسستنا ممارسات واضحة في مجال التخطيط المالي وإعداد الموازنة، وتتعامل معه عند الحاجة فقط.</t>
  </si>
  <si>
    <t>بدأت مؤسستنا باتخاذ خطوات بسيطة في مجال التخطيط المالي وإعداد الموازنة، لكنها ما تزال محدودة وغير منتظمة.</t>
  </si>
  <si>
    <t>تطبق مؤسستنا ممارسات أساسية وواضحة في مجال التخطيط المالي وإعداد الموازنة، لكنها لا تنفذها أو توثقها بشكل منتظم بالكامل.</t>
  </si>
  <si>
    <t>تطبق مؤسستنا إجراءات واضحة وموثقة في مجال التخطيط المالي وإعداد الموازنة، وتنفذها بانتظام وتتابع نتائجها.</t>
  </si>
  <si>
    <t>تراجع مؤسستنا ممارسات التخطيط المالي وإعداد الموازنة باستمرار، وتحلل النتائج والتغذية الراجعة وتستخدمها للتطوير واتخاذ القرارات.</t>
  </si>
  <si>
    <t>التحليل المالي واتخاذ القرار</t>
  </si>
  <si>
    <t>إلى أي مدى تحلل مؤسستك البيانات المالية وتستخدمها في اتخاذ القرارات؟</t>
  </si>
  <si>
    <t>لا تطبق مؤسستنا ممارسات واضحة في مجال التحليل المالي واتخاذ القرار، وتتعامل معه عند الحاجة فقط.</t>
  </si>
  <si>
    <t>بدأت مؤسستنا باتخاذ خطوات بسيطة في مجال التحليل المالي واتخاذ القرار، لكنها ما تزال محدودة وغير منتظمة.</t>
  </si>
  <si>
    <t>تطبق مؤسستنا ممارسات أساسية وواضحة في مجال التحليل المالي واتخاذ القرار، لكنها لا تنفذها أو توثقها بشكل منتظم بالكامل.</t>
  </si>
  <si>
    <t>تطبق مؤسستنا إجراءات واضحة وموثقة في مجال التحليل المالي واتخاذ القرار، وتنفذها بانتظام وتتابع نتائجها.</t>
  </si>
  <si>
    <t>تراجع مؤسستنا ممارسات التحليل المالي واتخاذ القرار باستمرار، وتحلل النتائج والتغذية الراجعة وتستخدمها للتطوير واتخاذ القرارات.</t>
  </si>
  <si>
    <t>توزيع الموارد</t>
  </si>
  <si>
    <t>إلى أي مدى توزع مؤسستك مواردها وفق الأولويات والاحتياجات والأهداف؟</t>
  </si>
  <si>
    <t>لا تطبق مؤسستنا ممارسات واضحة في مجال توزيع الموارد، وتتعامل معه عند الحاجة فقط.</t>
  </si>
  <si>
    <t>بدأت مؤسستنا باتخاذ خطوات بسيطة في مجال توزيع الموارد، لكنها ما تزال محدودة وغير منتظمة.</t>
  </si>
  <si>
    <t>تطبق مؤسستنا ممارسات أساسية وواضحة في مجال توزيع الموارد، لكنها لا تنفذها أو توثقها بشكل منتظم بالكامل.</t>
  </si>
  <si>
    <t>تطبق مؤسستنا إجراءات واضحة وموثقة في مجال توزيع الموارد، وتنفذها بانتظام وتتابع نتائجها.</t>
  </si>
  <si>
    <t>تراجع مؤسستنا ممارسات توزيع الموارد باستمرار، وتحلل النتائج والتغذية الراجعة وتستخدمها للتطوير واتخاذ القرارات.</t>
  </si>
  <si>
    <t>إدارة المخاطر المالية</t>
  </si>
  <si>
    <t>إلى أي مدى تحدد مؤسستك المخاطر المالية وتقيّمها وتتخذ إجراءات للتعامل معها؟</t>
  </si>
  <si>
    <t>لا تطبق مؤسستنا ممارسات واضحة في مجال إدارة المخاطر المالية، وتتعامل معه عند الحاجة فقط.</t>
  </si>
  <si>
    <t>بدأت مؤسستنا باتخاذ خطوات بسيطة في مجال إدارة المخاطر المالية، لكنها ما تزال محدودة وغير منتظمة.</t>
  </si>
  <si>
    <t>تطبق مؤسستنا ممارسات أساسية وواضحة في مجال إدارة المخاطر المالية، لكنها لا تنفذها أو توثقها بشكل منتظم بالكامل.</t>
  </si>
  <si>
    <t>تطبق مؤسستنا إجراءات واضحة وموثقة في مجال إدارة المخاطر المالية، وتنفذها بانتظام وتتابع نتائجها.</t>
  </si>
  <si>
    <t>تراجع مؤسستنا ممارسات إدارة المخاطر المالية باستمرار، وتحلل النتائج والتغذية الراجعة وتستخدمها للتطوير واتخاذ القرارات.</t>
  </si>
  <si>
    <t>التقارير المالية</t>
  </si>
  <si>
    <t>إلى أي مدى تعد مؤسستك تقارير مالية دقيقة ومنتظمة وتستخدمها في المتابعة والمساءلة؟</t>
  </si>
  <si>
    <t>لا تطبق مؤسستنا ممارسات واضحة في مجال التقارير المالية، وتتعامل معه عند الحاجة فقط.</t>
  </si>
  <si>
    <t>بدأت مؤسستنا باتخاذ خطوات بسيطة في مجال التقارير المالية، لكنها ما تزال محدودة وغير منتظمة.</t>
  </si>
  <si>
    <t>تطبق مؤسستنا ممارسات أساسية وواضحة في مجال التقارير المالية، لكنها لا تنفذها أو توثقها بشكل منتظم بالكامل.</t>
  </si>
  <si>
    <t>تطبق مؤسستنا إجراءات واضحة وموثقة في مجال التقارير المالية، وتنفذها بانتظام وتتابع نتائجها.</t>
  </si>
  <si>
    <t>تراجع مؤسستنا ممارسات التقارير المالية باستمرار، وتحلل النتائج والتغذية الراجعة وتستخدمها للتطوير واتخاذ القرارات.</t>
  </si>
  <si>
    <t>المحاسبة، السجلات المالية، العمليات المالية</t>
  </si>
  <si>
    <t>الرقابة المالية، الامتثال، السياسات</t>
  </si>
  <si>
    <t>التخطيط المالي، الموازنة، التنبؤ المالي</t>
  </si>
  <si>
    <t>التحليل المالي، التقارير المالية، اتخاذ القرار</t>
  </si>
  <si>
    <t>تخصيص الموارد، الأولويات، الكفاءة</t>
  </si>
  <si>
    <t>إدارة المخاطر، تقييم المخاطر، إجراءات التخفيف</t>
  </si>
  <si>
    <t>التقارير المالية، الدقة، المساءلة</t>
  </si>
  <si>
    <t>الإدارة والحوكمة</t>
  </si>
  <si>
    <t>اتخاذ القرار بكفاءة</t>
  </si>
  <si>
    <t>إلى أي مدى تطبق مؤسستك إجراءات واضحة لاتخاذ القرارات بسرعة وكفاءة وبمشاركة العاملين والمدربين المعنيين؟</t>
  </si>
  <si>
    <t>لا تطبق مؤسستنا ممارسات واضحة في مجال اتخاذ القرار بكفاءة، وتتعامل معه عند الحاجة فقط.</t>
  </si>
  <si>
    <t>بدأت مؤسستنا باتخاذ خطوات بسيطة في مجال اتخاذ القرار بكفاءة، لكنها ما تزال محدودة وغير منتظمة.</t>
  </si>
  <si>
    <t>تطبق مؤسستنا ممارسات أساسية وواضحة في مجال اتخاذ القرار بكفاءة، لكنها لا تنفذها أو توثقها بشكل منتظم بالكامل.</t>
  </si>
  <si>
    <t>تطبق مؤسستنا إجراءات واضحة وموثقة في مجال اتخاذ القرار بكفاءة، وتنفذها بانتظام وتتابع نتائجها.</t>
  </si>
  <si>
    <t>تراجع مؤسستنا ممارسات اتخاذ القرار بكفاءة باستمرار، وتحلل النتائج والتغذية الراجعة وتستخدمها للتطوير واتخاذ القرارات.</t>
  </si>
  <si>
    <t>مواءمة القرارات مع الأهداف الاستراتيجية</t>
  </si>
  <si>
    <t>إلى أي مدى تربط مؤسستك القرارات الإدارية وتوزيع الموارد بأهدافها الاستراتيجية؟</t>
  </si>
  <si>
    <t>لا تطبق مؤسستنا ممارسات واضحة في مجال مواءمة القرارات مع الأهداف الاستراتيجية، وتتعامل معه عند الحاجة فقط.</t>
  </si>
  <si>
    <t>بدأت مؤسستنا باتخاذ خطوات بسيطة في مجال مواءمة القرارات مع الأهداف الاستراتيجية، لكنها ما تزال محدودة وغير منتظمة.</t>
  </si>
  <si>
    <t>تطبق مؤسستنا ممارسات أساسية وواضحة في مجال مواءمة القرارات مع الأهداف الاستراتيجية، لكنها لا تنفذها أو توثقها بشكل منتظم بالكامل.</t>
  </si>
  <si>
    <t>تطبق مؤسستنا إجراءات واضحة وموثقة في مجال مواءمة القرارات مع الأهداف الاستراتيجية، وتنفذها بانتظام وتتابع نتائجها.</t>
  </si>
  <si>
    <t>تراجع مؤسستنا ممارسات مواءمة القرارات مع الأهداف الاستراتيجية باستمرار، وتحلل النتائج والتغذية الراجعة وتستخدمها للتطوير واتخاذ القرارات.</t>
  </si>
  <si>
    <t>مراجعة الممارسات الإدارية</t>
  </si>
  <si>
    <t>إلى أي مدى تراجع مؤسستك ممارساتها الإدارية وتعدلها للاستجابة للتغيرات؟</t>
  </si>
  <si>
    <t>لا تطبق مؤسستنا ممارسات واضحة في مجال مراجعة الممارسات الإدارية، وتتعامل معه عند الحاجة فقط.</t>
  </si>
  <si>
    <t>بدأت مؤسستنا باتخاذ خطوات بسيطة في مجال مراجعة الممارسات الإدارية، لكنها ما تزال محدودة وغير منتظمة.</t>
  </si>
  <si>
    <t>تطبق مؤسستنا ممارسات أساسية وواضحة في مجال مراجعة الممارسات الإدارية، لكنها لا تنفذها أو توثقها بشكل منتظم بالكامل.</t>
  </si>
  <si>
    <t>تطبق مؤسستنا إجراءات واضحة وموثقة في مجال مراجعة الممارسات الإدارية، وتنفذها بانتظام وتتابع نتائجها.</t>
  </si>
  <si>
    <t>تراجع مؤسستنا ممارسات مراجعة الممارسات الإدارية باستمرار، وتحلل النتائج والتغذية الراجعة وتستخدمها للتطوير واتخاذ القرارات.</t>
  </si>
  <si>
    <t>تطوير مهارات المديرين في إدارة المشاريع</t>
  </si>
  <si>
    <t>إلى أي مدى توفر مؤسستك تدريبًا مستمرًا للمديرين على إدارة المشاريع وتتابع تطبيق ما تعلموه؟</t>
  </si>
  <si>
    <t>لا تطبق مؤسستنا ممارسات واضحة في مجال تطوير مهارات المديرين في إدارة المشاريع، وتتعامل معه عند الحاجة فقط.</t>
  </si>
  <si>
    <t>بدأت مؤسستنا باتخاذ خطوات بسيطة في مجال تطوير مهارات المديرين في إدارة المشاريع، لكنها ما تزال محدودة وغير منتظمة.</t>
  </si>
  <si>
    <t>تطبق مؤسستنا ممارسات أساسية وواضحة في مجال تطوير مهارات المديرين في إدارة المشاريع، لكنها لا تنفذها أو توثقها بشكل منتظم بالكامل.</t>
  </si>
  <si>
    <t>تطبق مؤسستنا إجراءات واضحة وموثقة في مجال تطوير مهارات المديرين في إدارة المشاريع، وتنفذها بانتظام وتتابع نتائجها.</t>
  </si>
  <si>
    <t>تراجع مؤسستنا ممارسات تطوير مهارات المديرين في إدارة المشاريع باستمرار، وتحلل النتائج والتغذية الراجعة وتستخدمها للتطوير واتخاذ القرارات.</t>
  </si>
  <si>
    <t>التخطيط الاستراتيجي</t>
  </si>
  <si>
    <t>إلى أي مدى تحدد مؤسستك رؤيتها ورسالتها وأهدافها طويلة المدى وتحولها إلى خطط قابلة للتنفيذ؟</t>
  </si>
  <si>
    <t>لا تطبق مؤسستنا ممارسات واضحة في مجال التخطيط الاستراتيجي، وتتعامل معه عند الحاجة فقط.</t>
  </si>
  <si>
    <t>بدأت مؤسستنا باتخاذ خطوات بسيطة في مجال التخطيط الاستراتيجي، لكنها ما تزال محدودة وغير منتظمة.</t>
  </si>
  <si>
    <t>تطبق مؤسستنا ممارسات أساسية وواضحة في مجال التخطيط الاستراتيجي، لكنها لا تنفذها أو توثقها بشكل منتظم بالكامل.</t>
  </si>
  <si>
    <t>تطبق مؤسستنا إجراءات واضحة وموثقة في مجال التخطيط الاستراتيجي، وتنفذها بانتظام وتتابع نتائجها.</t>
  </si>
  <si>
    <t>تراجع مؤسستنا ممارسات التخطيط الاستراتيجي باستمرار، وتحلل النتائج والتغذية الراجعة وتستخدمها للتطوير واتخاذ القرارات.</t>
  </si>
  <si>
    <t>إدارة المشاريع</t>
  </si>
  <si>
    <t>إلى أي مدى تخطط مؤسستك للمشاريع وتنفذها وتغلقها ضمن النطاق والوقت والموازنة المحددة؟</t>
  </si>
  <si>
    <t>لا تطبق مؤسستنا ممارسات واضحة في مجال إدارة المشاريع، وتتعامل معه عند الحاجة فقط.</t>
  </si>
  <si>
    <t>بدأت مؤسستنا باتخاذ خطوات بسيطة في مجال إدارة المشاريع، لكنها ما تزال محدودة وغير منتظمة.</t>
  </si>
  <si>
    <t>تطبق مؤسستنا ممارسات أساسية وواضحة في مجال إدارة المشاريع، لكنها لا تنفذها أو توثقها بشكل منتظم بالكامل.</t>
  </si>
  <si>
    <t>تطبق مؤسستنا إجراءات واضحة وموثقة في مجال إدارة المشاريع، وتنفذها بانتظام وتتابع نتائجها.</t>
  </si>
  <si>
    <t>تراجع مؤسستنا ممارسات إدارة المشاريع باستمرار، وتحلل النتائج والتغذية الراجعة وتستخدمها للتطوير واتخاذ القرارات.</t>
  </si>
  <si>
    <t>تشجيع الابتكار</t>
  </si>
  <si>
    <t>إلى أي مدى تشجع مؤسستك الأفكار الجديدة والإبداع وتستخدمها لتحسين عملها؟</t>
  </si>
  <si>
    <t>لا تطبق مؤسستنا ممارسات واضحة في مجال تشجيع الابتكار، وتتعامل معه عند الحاجة فقط.</t>
  </si>
  <si>
    <t>بدأت مؤسستنا باتخاذ خطوات بسيطة في مجال تشجيع الابتكار، لكنها ما تزال محدودة وغير منتظمة.</t>
  </si>
  <si>
    <t>تطبق مؤسستنا ممارسات أساسية وواضحة في مجال تشجيع الابتكار، لكنها لا تنفذها أو توثقها بشكل منتظم بالكامل.</t>
  </si>
  <si>
    <t>تطبق مؤسستنا إجراءات واضحة وموثقة في مجال تشجيع الابتكار، وتنفذها بانتظام وتتابع نتائجها.</t>
  </si>
  <si>
    <t>تراجع مؤسستنا ممارسات تشجيع الابتكار باستمرار، وتحلل النتائج والتغذية الراجعة وتستخدمها للتطوير واتخاذ القرارات.</t>
  </si>
  <si>
    <t>اتخاذ القرار، الكفاءة، المشاركة</t>
  </si>
  <si>
    <t>الأهداف الاستراتيجية، تخصيص الموارد، المواءمة</t>
  </si>
  <si>
    <t>المراجعة الإدارية، المرونة، الاستجابة للتغيير</t>
  </si>
  <si>
    <t>إدارة المشاريع، تدريب المديرين، المتابعة والتقييم</t>
  </si>
  <si>
    <t>الرؤية، الرسالة، الأهداف الاستراتيجية، SMART</t>
  </si>
  <si>
    <t>إدارة المشاريع، النطاق، الوقت، الموازنة</t>
  </si>
  <si>
    <t>الابتكار، الإبداع، التحسين</t>
  </si>
  <si>
    <t>عدد المؤشرات</t>
  </si>
  <si>
    <t>متوسط الدرجة</t>
  </si>
  <si>
    <t>النتائج</t>
  </si>
  <si>
    <t>أولي-2</t>
  </si>
  <si>
    <t>أساسي-3</t>
  </si>
  <si>
    <t>منظم-4</t>
  </si>
  <si>
    <t>ديناميكي-5</t>
  </si>
  <si>
    <t>الوزن</t>
  </si>
  <si>
    <t>الترويج والخبرة في تعلم وتعليم الكبار</t>
  </si>
  <si>
    <t>مجموع النقاط</t>
  </si>
  <si>
    <t>التحصيل</t>
  </si>
  <si>
    <t>المجموع</t>
  </si>
  <si>
    <t>العلامة</t>
  </si>
  <si>
    <t>الحد الاعلى لعلامات المستوى</t>
  </si>
  <si>
    <t>المجموع العام للنقاط</t>
  </si>
  <si>
    <t>المجموع العام للعلامات</t>
  </si>
  <si>
    <t>المحور</t>
  </si>
  <si>
    <t>المؤشر</t>
  </si>
  <si>
    <t>القياس</t>
  </si>
  <si>
    <t>مستوى التحصيل</t>
  </si>
  <si>
    <t>الديناميكي</t>
  </si>
  <si>
    <t>محور الترويج والمناصرة</t>
  </si>
  <si>
    <t>1- إلى أي مدى تعمل مؤسستك على تحسين الصورة العامة لتعلم وتعليم الكبار من خلال التواصل والإعلام والتوعية؟</t>
  </si>
  <si>
    <t>2- إلى أي مدى تشارك مؤسستك في المعرفة والنقاشات المتعلقة بتعلم وتعليم الكبار محليًا ووطنيًا وإقليميًا ودوليًا؟</t>
  </si>
  <si>
    <t>3- إلى أي مدى تناصر مؤسستك تعلم وتعليم الكبار لرفع الوعي والتأثير في السياسات وحشد الدعم والتمويل؟</t>
  </si>
  <si>
    <t>4- إلى أي مدى تفهم مؤسستك منهجيات تعلم وتعليم الكبار وتستخدمها في برامجها التعليمية؟</t>
  </si>
  <si>
    <t>5- إلى أي مدى تتعاون مؤسستك مع مقدمي تعلم الكبار وأصحاب المصلحة والشبكات على المستويات المختلفة؟</t>
  </si>
  <si>
    <t>6- إلى أي مدى تدرب مؤسستك العاملين والمدربين على أساليب تعلم الكبار وتستخدم هذه الأساليب في تصميم وتنفيذ التدريب؟</t>
  </si>
  <si>
    <t xml:space="preserve"> برامج وخدمات تعلم وتعليم الكبار  </t>
  </si>
  <si>
    <t xml:space="preserve">مؤشر برامج وخدمات تعلم وتعليم الكبار  </t>
  </si>
  <si>
    <t>1- إلى أي مدى تقدم مؤسستك برامج تعليمية متنوعة ومنظمة تلبي احتياجات المتعلمين؟</t>
  </si>
  <si>
    <t>2- إلى أي مدى تحافظ مؤسستك على جودة المناهج وتقيّمها وتطورها؟</t>
  </si>
  <si>
    <t>3- لى أي مدى تنوع مؤسستك طرق تقديم الدورات مثل الوجاهي والرقمي والمدمج؟</t>
  </si>
  <si>
    <t>4- إلى أي مدى تجعل مؤسستك برامجها سهلة الوصول والمشاركة لمختلف الفئات؟</t>
  </si>
  <si>
    <t>5- إلى أي مدى تجمع مؤسستك آراء المشاركين وتقيس رضاهم وتستخدم النتائج لتحسين البرامج؟</t>
  </si>
  <si>
    <t>6- إلى أي مدى تقدم مؤسستك خدمات التوجيه والإرشاد المهني للمتعلمين بصورة منظمة؟</t>
  </si>
  <si>
    <t>7- إلى أي مدى تنفذ مؤسستك الدورات وفق الخطط والجداول والمعايير المحددة؟</t>
  </si>
  <si>
    <t>8- إلى أي مدى تطبق مؤسستك إجراءات لضمان جودة برامج تعلم وتعليم الكبار ونتائجها؟</t>
  </si>
  <si>
    <t>9- إلى أي مدى تصمم مؤسستك برامج تعلم كبار شاملة تستجيب لاحتياجات النساء واللاجئين والأشخاص ذوي الإعاقة وذوي الدخل المحدود وغيرهم؟</t>
  </si>
  <si>
    <t xml:space="preserve">مؤشر المجتمع والمشاركة في التنمية </t>
  </si>
  <si>
    <t>مؤشر  البحث المجتمعي والتوعية والتواصل</t>
  </si>
  <si>
    <t>1- إلى أي مدى تحدد مؤسستك احتياجات وتفضيلات الفئات المستهدفة من خلال البحث والمشاركة المجتمعية؟</t>
  </si>
  <si>
    <t>2- إلى أي مدى تنفذ مؤسستك حملات موجهة لزيادة الوعي ببرامجها وتشجيع التسجيل فيها؟</t>
  </si>
  <si>
    <t>3-إلى أي مدى تدعم مؤسستك المتعلمين خلال رحلتهم التعليمية لمساعدتهم على النجاح وإكمال البرامج؟</t>
  </si>
  <si>
    <t>4- إلى أي مدى تتابع مؤسستك نتائج المشاركين وتقيسها لإظهار فعالية البرامج التعليمية؟</t>
  </si>
  <si>
    <t>5- إلى أي مدى تشجع مؤسستك الخريجين وتدعمهم للمشاركة في أنشطة تخدم تنمية المجتمع؟</t>
  </si>
  <si>
    <t>6- إلى أي مدى تروج مؤسستك لبرامجها التعليمية وتوضح قيمتها لجذب المشاركين؟</t>
  </si>
  <si>
    <t>7- إلى أي مدى تجمع مؤسستك آراء المجتمع وتستخدمها في تطوير البرامج؟</t>
  </si>
  <si>
    <t xml:space="preserve">الفئة المُستهدفة </t>
  </si>
  <si>
    <t>مؤشر التواصل والمناصرة</t>
  </si>
  <si>
    <t>1- إلى أي مدى تضع مؤسستك خطة واضحة للتواصل مع الجمهور وأصحاب المصلحة وتستخدمها؟</t>
  </si>
  <si>
    <t>2- إلى أي مدى تُبقي مؤسستك العاملين والمدربين على اطلاع وتشركهم من خلال تواصل داخلي فعال؟</t>
  </si>
  <si>
    <t>3- إلى أي مدى تعمل مؤسستك على تحسين نظرة الجمهور لتعلم وتعليم الكبار من خلال الحملات والتواصل مع الإعلام؟</t>
  </si>
  <si>
    <t>4- إلى أي مدى تستخدم مؤسستك وسائل التواصل الاجتماعي والموقع الإلكتروني والأدوات الرقمية للوصول إلى الجمهور؟</t>
  </si>
  <si>
    <t>5- إلى أي مدى تجمع مؤسستك التغذية الراجعة وتستخدمها لتحسين التواصل والمشاركة؟</t>
  </si>
  <si>
    <t>6- إلى أي مدى تضمن مؤسستك أن يكون تواصلها واضحًا وصادقًا وشفافًا بما يعزز الثقة؟</t>
  </si>
  <si>
    <t xml:space="preserve"> الموارد البشرية</t>
  </si>
  <si>
    <t>مؤشر الموارد البشرية</t>
  </si>
  <si>
    <t>1- إلى أي مدى تحدد مؤسستك أدوار العاملين ومسؤولياتهم وتوثقها؟</t>
  </si>
  <si>
    <t>2- لى أي مدى تطبق مؤسستك إجراءات واضحة ومنظمة لاستقطاب العاملين واختيارهم وتوظيفهم؟</t>
  </si>
  <si>
    <t>3- إلى أي مدى توفر مؤسستك فرص التطوير المهني للعاملين والمدربين؟</t>
  </si>
  <si>
    <t>4- إلى أي مدى تقيّم مؤسستك أداء العاملين وتستخدم النتائج لتطويرهم؟</t>
  </si>
  <si>
    <t>5-إلى أي مدى تستقطب مؤسستك المتطوعين وتنظم مشاركتهم وتدعم استمرارهم؟</t>
  </si>
  <si>
    <t>6- إلى أي مدى تهتم مؤسستك برضا العاملين ورفاههم وتستجيب لاحتياجاتهم؟</t>
  </si>
  <si>
    <t xml:space="preserve"> الموارد المالية   </t>
  </si>
  <si>
    <t>مؤشر  جمع التمويل وكتابة المشاريع</t>
  </si>
  <si>
    <t>1- إلى أي مدى تنوع مؤسستك مصادر التمويل ولا تعتمد على مصدر واحد؟</t>
  </si>
  <si>
    <t>2- إلى أي مدى تدير مؤسستك علاقاتها مع المانحين والداعمين وتحافظ عليها؟</t>
  </si>
  <si>
    <t>3- إلى أي مدى تمتلك مؤسستك القدرة على إعداد وكتابة مقترحات المشاريع وطلبات المنح؟</t>
  </si>
  <si>
    <t>4- إلى أي مدى تربط مؤسستك جهود جمع التمويل بخططها المالية طويلة المدى؟</t>
  </si>
  <si>
    <t>5- لى أي مدى تطور مؤسستك مهارات العاملين في جمع التمويل وكتابة المقترحات؟</t>
  </si>
  <si>
    <t xml:space="preserve"> المقر التعلمي </t>
  </si>
  <si>
    <t>1- إلى أي مدى تدير مؤسستك المباني والمرافق والأصول المادية بصورة منظمة؟</t>
  </si>
  <si>
    <t>2- إلى أي مدى تدير مؤسستك المعدات والأجهزة والتكنولوجيا وتتابع صيانتها واستخدامها؟</t>
  </si>
  <si>
    <t>3- إلى أي مدى تضمن مؤسستك سلامة العاملين والمتعلمين والزوار داخل مرافقها؟</t>
  </si>
  <si>
    <t>4- إلى أي مدى تلتزم مؤسستك بالقوانين والأنظمة المحلية المتعلقة بالمرافق والمعدات وأنظمة تكنولوجيا المعلومات؟</t>
  </si>
  <si>
    <t>5- إلى أي مدى توفر مؤسستك بيئة مريحة وآمنة وسهلة الوصول لمختلف الأشخاص، بمن فيهم الأشخاص ذوو الإعاقة؟</t>
  </si>
  <si>
    <t xml:space="preserve">مؤشر الموارد المالية </t>
  </si>
  <si>
    <t>مؤشر  الإدارة المالية</t>
  </si>
  <si>
    <t>1- إلى أي مدى تستخدم مؤسستك نظامًا واضحًا ومنظمًا لتسجيل العمليات المالية وإدارتها؟</t>
  </si>
  <si>
    <t>2- إلى أي مدى تطبق مؤسستك ضوابط مالية وتلتزم بالسياسات والمتطلبات المالية؟</t>
  </si>
  <si>
    <t>3- إلى أي مدى تخطط مؤسستك ماليًا وتعد الموازنات وتتابع تنفيذها؟</t>
  </si>
  <si>
    <t>4- إلى أي مدى تحلل مؤسستك البيانات المالية وتستخدمها في اتخاذ القرارات؟</t>
  </si>
  <si>
    <t>5- لى أي مدى توزع مؤسستك مواردها وفق الأولويات والاحتياجات والأهداف؟</t>
  </si>
  <si>
    <t>6- إلى أي مدى تحدد مؤسستك المخاطر المالية وتقيّمها وتتخذ إجراءات للتعامل معها؟</t>
  </si>
  <si>
    <t>7-إلى أي مدى تعد مؤسستك تقارير مالية دقيقة ومنتظمة وتستخدمها في المتابعة والمساءلة؟</t>
  </si>
  <si>
    <t xml:space="preserve"> الإدارة العامة</t>
  </si>
  <si>
    <t>1- إلى أي مدى تطبق مؤسستك إجراءات واضحة لاتخاذ القرارات بسرعة وكفاءة وبمشاركة العاملين والمدربين المعنيين</t>
  </si>
  <si>
    <t>2- إلى أي مدى تربط مؤسستك القرارات الإدارية وتوزيع الموارد بأهدافها الاستراتيجية؟</t>
  </si>
  <si>
    <t>3- إلى أي مدى تراجع مؤسستك ممارساتها الإدارية وتعدلها للاستجابة للتغيرات؟</t>
  </si>
  <si>
    <t>4- إلى أي مدى توفر مؤسستك تدريبًا مستمرًا للمديرين على إدارة المشاريع وتتابع تطبيق ما تعلموه؟</t>
  </si>
  <si>
    <t>5-إلى أي مدى تحدد مؤسستك رؤيتها ورسالتها وأهدافها طويلة المدى وتحولها إلى خطط قابلة للتنفيذ؟</t>
  </si>
  <si>
    <t>6- لى أي مدى تخطط مؤسستك للمشاريع وتنفذها وتغلقها ضمن النطاق والوقت والموازنة المحددة؟</t>
  </si>
  <si>
    <t>7- إلى أي مدى تشجع مؤسستك الأفكار الجديدة والإبداع وتستخدمها لتحسين عملها؟</t>
  </si>
  <si>
    <t>مجموع العلامات</t>
  </si>
  <si>
    <t xml:space="preserve"> التحصيل الفرعي</t>
  </si>
  <si>
    <t xml:space="preserve"> التحصيل الكلي</t>
  </si>
  <si>
    <t>التقييم الحالي وفق المؤشرات</t>
  </si>
  <si>
    <t>تعليمات استكمال استبيان تقييم التطوير التنظيمي</t>
  </si>
  <si>
    <t>البنية التحتية، والمعدات، وتكنولوجيا المعلومات</t>
  </si>
  <si>
    <t xml:space="preserve">المستوى الناشئ </t>
  </si>
  <si>
    <t xml:space="preserve">المستوى الأولي </t>
  </si>
  <si>
    <t xml:space="preserve">المستوى المنظم </t>
  </si>
  <si>
    <t>الخصائص</t>
  </si>
  <si>
    <t>على المستوى الناشئ أو غير الرسمي، تكون المؤسسة في المراحل الأولى من التطوير، وغالبًا ما يكون لديها موارد محدودة جدًا، إضافة إلى الحد الأدنى من الهيكلية. تعتمد العمليات وآليات التشغيل إلى حد كبير على الاحتياجات الفورية والمبادرات الشخصية وليس على الإجراءات المُقررة. وعادة ما تكون عملية صنع القرار مركزية تتسم بقلة التوثيق أو قلة إضفاء الطابع الرسمي على الأدوار والمسؤوليات. بينما تتسم هذه المرحلة بدرجة عالية من المرونة إلا أن هذا قد يؤدي إلى عدم الاتساق وعدم الكفاءة خاصة في غياب مبادئ توجيهية موحدة تُلزم اتباعها. وقد تعتمد المؤسسة على شغف والتزام مؤسسيها وأعضاء فريقها الأساسيين بشكل كبير، إلا أنها تفتقر إلى الأنظمة اللازمة للحفاظ على نموها والتعامل مع التعقيدات التي تواجهها أثناء توسعها.</t>
  </si>
  <si>
    <t>على المستوى الأساسي أو المبتدئ، تبدأ المنظمة بإنشاء الهياكل والعمليات التأسيسية. وفي هذه المرحلة، يكون هناك بعض الوعي فيما يتعلق بضرورة إضفاء الطابع الرسمي كما ويتم بذل الجهود الأولية لتطوير الوثائق الأساسية. وبالرغم من ذلك، غالبًا ما يتم تطبيق هذه العمليات بشكل غير متسق وقد يكون الاعتماد على الممارسات غير الرسمية ما زال قائمًا إلى حد كبير. تبدأ المنظمة في التوجه نحو نهج أكثر تنظيمًا، إلا أن الأنظمة المعمول بها لا تزال ناشئة وربما تفتقر إلى الدقة اللازمة لضمان الاتساق والكفاءة. يكون في هذه المرحلة اعتراف متزايد بأهمية الإجراءات المنظمة، إلا أن المنظمة قد تواجه صعوبة في تنفيذها بالكامل عبر المجالات المختلفة.</t>
  </si>
  <si>
    <t>على المستوى المنظم أو الناضج، تكون المنظمة قد قامت بتطوير وتنفيذ عمليات رسمية في جميع مجالات التشغيل الرئيسية. يوجد في هذه المرحلة هيكل واضح وموثق جيدًا إضافة إلى أدوار ومسؤوليات وإجراءات محددة يتم اتباعها باستمرار. وتكون المنظمة قد وضعت إجراءات تشغيل موحدة للتوظيف والتدريب وإدارة الأداء والمهام الحيوية الأخرى. تُصبح عملية صنع القرار أكثر لا مركزية ومدعومة بمبادئ توجيهية واضحة وعمليات موثقة. يكون هناك تركيز قوي على موائمة الأدوار الفردية مع الأهداف المؤسسية مما يضمن عمل جميع أفراد الفريق نحو تحقيق الأهداف المشتركة. تتمتع المنظمة في هذه المرحلة بالاستقرار والكفاءة، كما يكون لديها القدرة على إدارة مواردها بفعالية والاستجابة للتحديات بشكل منهجي.</t>
  </si>
  <si>
    <t>على المستوى الديناميكي أو ذاك الذي يتم تحديثه بانتظام، لا تمتلك المنظمة عمليات منظمة فحسب، بل تعمل أيضًا على مراجعتها وتحسينها بشكل منتظم لضمان موائمتها مع أهدافها والبيئة الخارجية. يكون هناك تركيز قوي على التحسين المستمر مع تحديث منتظم للعمليات والأنظمة استنادًا إلى التغذية الراجعة وبيانات الأداء والاحتياجات المستجدة. تتمتع المنظمة بالمرونة والقدرة على التكيف بسرعة مع التغييرات ودمج الأفكار والابتكارات الجديدة في عملياتها. تتميز هذه المرحلة بوجود ثقافة التعلم والتطوير المستمرين حيث يتم تشجيع الموظفين والمتطوعين على المساهمة في تحسين العملية. تستخدم المنظمة البيانات والتحليلات بشكل فعّال وبما يُفيد في عمليات صنع القرار مما يضمن استمرار فعالية استراتيجياتها وعملياتها وبقائها ذات صلة.</t>
  </si>
  <si>
    <t>الأهمية</t>
  </si>
  <si>
    <t>يُعد هذا المستوى في غاية الأهمية لانطلاق المنظمة حيث يُمكّنها من الاستجابة للفرص والتحديات بشكل سريع. ومع ذلك، فإن العمل على هذا المستوى لفترات طويلة جدًا يمكن أن يحد من قدرة المنظمة على النمو وتحقيق مهامها بفعالية. قد يؤدي الافتقار إلى العمليات الرسمية إلى أدوار غير واضحة، واستخدام غير فعّال للموارد، وصعوبة في إدارة الموظفين أو المتطوعين مع توسع المنظمة. لذلك، في حين أن المستوى الناشئ هذا مهم في البدايات، فمن الضروري النهوض بالمنظمة إلى ما بعد هذه المرحلة لبناء منظمة مستدامة وفعّالة.</t>
  </si>
  <si>
    <t xml:space="preserve">  يُعد هذا المستوى مهمًا لأنه يمثل مرحلة انتقالية أساسية في رحلة المنظمة من العمل غير الرسمي والاعتماد على المبادرات الفردية نحو بناء أساليب عمل أكثر تنظيمًا واتساقًا. ويساعد البدء في تحديد الأدوار والمسؤوليات ووضع الممارسات والإجراءات الأولية المنظمة على تقليل الاعتماد على الاجتهادات الشخصية وتعزيز وضوح العمل والتنسيق داخل المؤسسة.
كما يوفر هذا المستوى أساسًا مهمًا لتطوير الأنظمة والعمليات الرسمية في المراحل اللاحقة، ويُعزز استعداد المؤسسة للنمو والتعامل مع احتياجاتها بصورة أكثر فاعلية. ومع ذلك، فإن البقاء في هذه المرحلة لفترة طويلة قد يؤدي إلى استمرار التفاوت في تطبيق الممارسات وضعف الاتساق والكفاءة. لذلك، من المهم أن تستثمر المؤسسة هذه المرحلة في ترسيخ الممارسات الأساسية وتوثيقها وتطويرها تدريجيًا للانتقال نحو مستوى أكثر تنظيمًا ونضجًا.</t>
  </si>
  <si>
    <t>هذا المستوى مهم لأنه يمثل انتقال المؤسسة من أسلوب العمل غير الرسمي والمبني على ردود الأفعال إلى نهج مدروس بشكل أكبر وأكثر تنظيمًا. يعد إنشاء العمليات الأساسية خطوة حاسمة نحو بناء القدرات اللازمة لتحقيق النمو المستدام. ومع ذلك، فإن البقاء في هذا المستوى لفترة طويلة جدًا من شأنه أن يعيق المزيد من التطوير، حيث قد تُفوّت المؤسسة فرصًا لتحسين عملياتها وأدائها. يُعد الانتقال إلى ما بعد مستوى المبتدئ أمرًا ضروريًا للمؤسسة لتحقيق قدر أكبر من الاتساق والكفاءة والتأثير.</t>
  </si>
  <si>
    <t>يعتبر الوصول إلى هذا المستوى من النضج أمرًا بالغ الأهمية لكي تتمكن المؤسسة من العمل بكفاءة وبشكل مستدام. يضمن وجود العمليات المنظمة الاتساق في آليات تشغيل المؤسسة، وتقليل المخاطر، وتحسين الأداء العام. ويعزز أيضًا هذا المستوى من التطوير مصداقية ودقة المؤسسة، الأمر الذي من شأنه أن يجعلها أكثر جاذبية للممولين، والشركاء، وأصحاب المصلحة الآخرين. تعتبر المؤسسة ذات البنية التنظيمية أفضل مكانة لتوسيع نطاق تأثيرها، حيث أنها تمتلك الأنظمة اللازمة لإدارة النمو والتعقيدات التي تواجهها. ومع ذلك، للحفاظ على فعاليتها وتعزيزها، ينبغي أن تستمر المؤسسة في التطور وتكييف عملياتها بما يتماشى مع الاحتياجات والبيئات المتغيرة.</t>
  </si>
  <si>
    <t xml:space="preserve">يُعد العمل على مثل هذا المستوى الديناميكي أمرًا في غاية الأهمية لاستدامة المؤسسة ونجاحها على المدى الطويل. ويمكن للمؤسسة أن تظل مستجيبة للتحديات والفرص الجديدة من خلال تحديث عملياتها بانتظام، وبالتالي تحافظ على أهميتها وفعاليتها ضمن بيئة متغيرة. يتيح هذا المستوى من التطور للمؤسسة أن تكون استباقية في العمل بدلاً من لجوئها إلى ردود الأفعال، الأمر الذي من شأنه أن يمكنها من التنبؤ بالاحتياجات المستقبلية والاستعداد لها. تكون المؤسسة الديناميكية مجهزة بشكل أفضل للابتكار والتحسين، مما يضمن استمراريتها في تقديم خدمات ذات جودة عالية ومن تحقيق مهمتها. ثم إن هذه القدرة على التكييف والالتزام بالتحسين والتطوير من شأنها أن تعزز علاقات المؤسسة مع أصحاب المصلحة، مما يحسن من مستوى الثقة والدعم.   </t>
  </si>
  <si>
    <r>
      <t xml:space="preserve">تتميز هذه المرحلة بوجود </t>
    </r>
    <r>
      <rPr>
        <b/>
        <sz val="11"/>
        <color theme="1"/>
        <rFont val="Calibri"/>
        <family val="2"/>
        <scheme val="minor"/>
      </rPr>
      <t>بداية واضحة للانتقال نحو التنظيم</t>
    </r>
    <r>
      <rPr>
        <sz val="11"/>
        <rFont val="Carlito"/>
      </rPr>
      <t>، مع استمرار قدر من المرونة والاعتماد على الممارسات غير الرسمية. وتمثل هذه المرحلة خطوة مهمة نحو بناء الهياكل والأنظمة الأساسية التي ستساعد المنظمة لاحقًا على تحقيق قدر أكبر من الاتساق والكفاءة والاستدامة.</t>
    </r>
  </si>
  <si>
    <t>المستوى الناشئ</t>
  </si>
  <si>
    <t>المستوى  الديناميكي</t>
  </si>
  <si>
    <t>العلامة من 100</t>
  </si>
  <si>
    <t>البنية التحتية والمعدات والتكنو</t>
  </si>
  <si>
    <t xml:space="preserve">المتوسط العام </t>
  </si>
  <si>
    <t>البحث المجتمعي  والتواصل</t>
  </si>
  <si>
    <t>البنية التحتية و المُعدات و التكنو</t>
  </si>
  <si>
    <t>مؤشر الإدارة والحوكمة</t>
  </si>
  <si>
    <t>اسم المحور</t>
  </si>
  <si>
    <t>النتيجة العامة للمؤسسة</t>
  </si>
  <si>
    <t>العلامة النهائية من 100</t>
  </si>
  <si>
    <t>المستوى العام</t>
  </si>
  <si>
    <t>المتبقي حتى المستوى الخامس</t>
  </si>
  <si>
    <t xml:space="preserve">الترويج والخبرة في تعلم  الكبار </t>
  </si>
  <si>
    <t>ناشئ -1</t>
  </si>
  <si>
    <t>المحاور</t>
  </si>
  <si>
    <t>المستوى الديناميكي</t>
  </si>
  <si>
    <r>
      <t xml:space="preserve">يهدف هذا الاستبيان إلى تحديد المستوى الحالي لمؤسستك في مجالات التطوير التنظيمي المختلفة، ومعرفة المجالات التي تحتاج إلى مزيد من التطوير والتحسين.
طريقة الإجابة
1. اقرأ كل سؤال بعناية.
2. قيّم الوضع الحالي لمؤسستك كما هو الآن، وليس الوضع الذي تطمحون إلى الوصول إليه مستقبلًا.
3. اختر مستوى واحدًا فقط لكل سؤال.
4. ضع العلامة في عمود الدرجة الذي اخترته فقط.
5. لا تضع علامات في أكثر من مستوى للسؤال نفسه.
</t>
    </r>
    <r>
      <rPr>
        <b/>
        <sz val="14"/>
        <rFont val="Carlito"/>
      </rPr>
      <t>مستويات التقييم</t>
    </r>
    <r>
      <rPr>
        <sz val="14"/>
        <rFont val="Carlito"/>
      </rPr>
      <t xml:space="preserve">
</t>
    </r>
    <r>
      <rPr>
        <b/>
        <sz val="14"/>
        <rFont val="Carlito"/>
      </rPr>
      <t>المستوى الأول:</t>
    </r>
    <r>
      <rPr>
        <sz val="14"/>
        <rFont val="Carlito"/>
      </rPr>
      <t xml:space="preserve"> ناشئ — ضع علامة واحدة : لا توجد ممارسة واضحة.
</t>
    </r>
    <r>
      <rPr>
        <b/>
        <sz val="14"/>
        <rFont val="Carlito"/>
      </rPr>
      <t xml:space="preserve">المستوى الثاني: </t>
    </r>
    <r>
      <rPr>
        <sz val="14"/>
        <rFont val="Carlito"/>
      </rPr>
      <t xml:space="preserve">أولي — ضع علامتان :بدأ التطبيق بصورة أولية.
</t>
    </r>
    <r>
      <rPr>
        <b/>
        <sz val="14"/>
        <rFont val="Carlito"/>
      </rPr>
      <t>المستوى الثالث:</t>
    </r>
    <r>
      <rPr>
        <sz val="14"/>
        <rFont val="Carlito"/>
      </rPr>
      <t xml:space="preserve"> أساسي —ضع  ثلاث علامات :الممارسة موجودة وتُطبَّق بدرجة أساسية، لكنها تحتاج إلى مزيد من التنظيم والتحسين.
</t>
    </r>
    <r>
      <rPr>
        <b/>
        <sz val="14"/>
        <rFont val="Carlito"/>
      </rPr>
      <t>المستوى الرابع:</t>
    </r>
    <r>
      <rPr>
        <sz val="14"/>
        <rFont val="Carlito"/>
      </rPr>
      <t xml:space="preserve"> منظم —ضع  أربع علامات :الممارسة واضحة ومنظمة وتُطبَّق بصورة جيدة ويتم متابعتها.
</t>
    </r>
    <r>
      <rPr>
        <b/>
        <sz val="14"/>
        <rFont val="Carlito"/>
      </rPr>
      <t>المستوى الخامس:</t>
    </r>
    <r>
      <rPr>
        <sz val="14"/>
        <rFont val="Carlito"/>
      </rPr>
      <t xml:space="preserve"> ديناميكي —ضع  خمس علامات :الممارسة متطورة ومرنة، ويتم تحسينها باستمرار والاستجابة للتغيرات. 
</t>
    </r>
    <r>
      <rPr>
        <b/>
        <sz val="14"/>
        <rFont val="Carlito"/>
      </rPr>
      <t>ملاحظة مهمة:</t>
    </r>
    <r>
      <rPr>
        <sz val="14"/>
        <rFont val="Carlito"/>
      </rPr>
      <t xml:space="preserve"> لا توجد إجابات صحيحة أو خاطئة في هذا التقييم، فالمطلوب هو اختيار المستوى الذي يصف الواقع الحالي لمؤسستك بأكبر قدر من الدقة. الهدف من التقييم ليس الحكم على المؤسسة، وإنما مساعدتك على معرفة وضعها الحالي وتحديد نقاط القوة والمجالات التي تحتاج إلى تطوير وتحسين.
يمثل كل مستوى مرحلة من مراحل تطور المؤسسة، من المستوى الناشئ إلى المستوى الديناميكي. الأهم هو معرفة موقع مؤسستك حاليًا والتفكير في الخطوات التي يمكن اتخاذها لتطوير وتعزيز قدراتها مع مرور الوقت.
بعد الانتهاء من تعبئة الاستبيان، سيتم احتساب النتائج تلقائيًا في أوراق «كشف التحصيل» و**«كشف العلامات الموحد»** و**«تحليل النتائج والرسوم البيانية»**. لذلك، يرجى عدم الكتابة أو التعديل في هذه الأوراق، وإدخال الإجابات في صفحات المحاور فقط.
التطوير المؤسسي هو عملية مستمرة وطويلة المدى، وهذا التقييم يساعدك على تحديد نقاط القوة ومجالات التحسين، وبناء ممارسات أقوى وأكثر استدامة مستقبلًا.
</t>
    </r>
    <r>
      <rPr>
        <b/>
        <sz val="14"/>
        <rFont val="Carlito"/>
      </rPr>
      <t/>
    </r>
  </si>
  <si>
    <t>الصورة العامة لتعلم وتعليم الكبار</t>
  </si>
  <si>
    <t>المصطلح</t>
  </si>
  <si>
    <t>التعريف</t>
  </si>
  <si>
    <t>الطريقة التي يرى بها المجتمع أهمية تعلم وتعليم الكبار وفائدته.</t>
  </si>
  <si>
    <t>المناصرة</t>
  </si>
  <si>
    <t>العمل على رفع الوعي وكسب الدعم والتأثير في القرارات والسياسات لصالح تعلم وتعليم الكبار.</t>
  </si>
  <si>
    <t>الأندراغوجيا</t>
  </si>
  <si>
    <t>أسلوب تعليم الكبار الذي يعتمد على خبراتهم ومشاركتهم واحتياجاتهم الواقعية.</t>
  </si>
  <si>
    <t>الأشخاص أو الجهات التي تتأثر بعمل المؤسسة أو يمكن أن تؤثر فيه، مثل المتعلمين والشركاء والمانحين.</t>
  </si>
  <si>
    <t>التعلم الرقمي</t>
  </si>
  <si>
    <t>التعلم باستخدام الإنترنت أو المنصات والأدوات الإلكترونية.</t>
  </si>
  <si>
    <t>إتاحة البرامج</t>
  </si>
  <si>
    <t>جعل البرامج سهلة الوصول والمشاركة لمختلف الفئات، مع تقليل العوائق أمامهم.</t>
  </si>
  <si>
    <t>مساعدة المتعلم على معرفة خياراته التعليمية والمهنية واختيار المسار المناسب له.</t>
  </si>
  <si>
    <t>التأكد من أن البرنامج يحقق المعايير المطلوبة ويقدم نتائج تعلم جيدة.</t>
  </si>
  <si>
    <t>الفئات المهمشة</t>
  </si>
  <si>
    <t>فئات تواجه عوائق أو فرصًا أقل في الوصول إلى الخدمات والبرامج.</t>
  </si>
  <si>
    <t>البحث المجتمعي</t>
  </si>
  <si>
    <t>جمع معلومات من المجتمع لفهم احتياجات الناس ومشكلاتهم وتفضيلاتهم.</t>
  </si>
  <si>
    <t>حملات الوصول</t>
  </si>
  <si>
    <t>أنشطة تهدف إلى الوصول إلى الفئات المستهدفة وتعريفها بالبرامج.</t>
  </si>
  <si>
    <t>الاستقطاب</t>
  </si>
  <si>
    <t>تشجيع الأشخاص المناسبين على الاهتمام بالبرنامج والتسجيل فيه.</t>
  </si>
  <si>
    <t>فعالية البرامج</t>
  </si>
  <si>
    <t>مدى نجاح البرنامج في تحقيق أهدافه ونتائجه المطلوبة.</t>
  </si>
  <si>
    <t>المشاركة المجتمعية</t>
  </si>
  <si>
    <t>إشراك أفراد المجتمع في إبداء الرأي أو تنفيذ الأنشطة أو تطوير البرامج.</t>
  </si>
  <si>
    <t xml:space="preserve">المصطلح </t>
  </si>
  <si>
    <t>خطة تحدد مع من نتواصل، وما الرسالة التي نريد إيصالها، وبأي وسيلة ومتى.</t>
  </si>
  <si>
    <t>تبادل المعلومات والتعليمات بين الإدارة والعاملين والمدربين داخل المؤسسة.</t>
  </si>
  <si>
    <t>الأدوات الرقمية</t>
  </si>
  <si>
    <t>وسائل إلكترونية تساعد على التواصل والوصول إلى الجمهور، مثل الموقع ووسائل التواصل الاجتماعي.</t>
  </si>
  <si>
    <t>الشفافية</t>
  </si>
  <si>
    <t>تقديم المعلومات بوضوح وصدق وعدم إخفاء المعلومات المهمة عن الجهات المعنية.</t>
  </si>
  <si>
    <t>الإفصاح</t>
  </si>
  <si>
    <t>مشاركة المعلومات أو البيانات التي ينبغي أن تكون معروفة لأصحاب العلاقة.</t>
  </si>
  <si>
    <t>العاملون والمدربون والمتطوعون الذين يساهمون في عمل المؤسسة.</t>
  </si>
  <si>
    <t>الأدوار والمسؤوليات</t>
  </si>
  <si>
    <t>المهام التي يقوم بها كل شخص وما هو مطلوب منه داخل المؤسسة.</t>
  </si>
  <si>
    <t>الوصف الوظيفي</t>
  </si>
  <si>
    <t>وثيقة توضّح مهام الوظيفة ومسؤولياتها ومؤهلات شاغلها.</t>
  </si>
  <si>
    <t>تدريب العاملين وتحسين مهاراتهم وخبراتهم المرتبطة بالعمل.</t>
  </si>
  <si>
    <t>مراجعة أداء العامل ومعرفة نقاط القوة ومجالات التحسين لديه.</t>
  </si>
  <si>
    <t>شعور العاملين بالراحة والتقدير والرضا عن بيئة العمل وظروفه.</t>
  </si>
  <si>
    <t>الحصول على التمويل من أكثر من مصدر وعدم الاعتماد على جهة واحدة فقط.</t>
  </si>
  <si>
    <t>الاستدامة المالية</t>
  </si>
  <si>
    <t>قدرة المؤسسة على الاستمرار في تنفيذ عملها وتغطية احتياجاتها المالية مع مرور الوقت.</t>
  </si>
  <si>
    <t>التواصل مع المانحين والمحافظة على علاقة مهنية ومستمرّة معهم.</t>
  </si>
  <si>
    <t>مقترح المشروع</t>
  </si>
  <si>
    <t>وثيقة تشرح المشكلة والهدف والأنشطة والميزانية والنتائج المتوقعة للمشروع.</t>
  </si>
  <si>
    <t>تقدير احتياجات المؤسسة ومصادر دخلها ونفقاتها لفترة مستقبلية طويلة.</t>
  </si>
  <si>
    <t>بناء القدرات</t>
  </si>
  <si>
    <t>تطوير مهارات الفريق ومعارفه حتى يؤدي عمله بشكل أفضل.</t>
  </si>
  <si>
    <t>البنية التحتية</t>
  </si>
  <si>
    <t>المباني والغرف والمرافق والأنظمة الأساسية التي تحتاجها المؤسسة للعمل.</t>
  </si>
  <si>
    <t>الأصول</t>
  </si>
  <si>
    <t>الممتلكات التي تملكها المؤسسة وتستخدمها، مثل الأجهزة والأثاث والمركبات.</t>
  </si>
  <si>
    <t>الامتثال</t>
  </si>
  <si>
    <t>الالتزام بالقوانين والأنظمة والسياسات المطلوبة.</t>
  </si>
  <si>
    <t>سهولة الوصول</t>
  </si>
  <si>
    <t>قدرة جميع الأشخاص على استخدام المكان أو الخدمة، بمن فيهم الأشخاص ذوو الإعاقة.</t>
  </si>
  <si>
    <t>الترتيبات التيسيرية</t>
  </si>
  <si>
    <t>تجهيزات أو تعديلات تساعد الأشخاص على الوصول والمشاركة دون عوائق.</t>
  </si>
  <si>
    <t>الطريقة أو النظام الذي تُسجّل به الإيرادات والمصروفات والعمليات المالية.</t>
  </si>
  <si>
    <t>السجلات المالية</t>
  </si>
  <si>
    <t>الوثائق التي تثبت حركة الأموال، مثل الفواتير والإيصالات وكشوف الحسابات.</t>
  </si>
  <si>
    <t>الامتثال المالي</t>
  </si>
  <si>
    <t>الالتزام بالسياسات والقوانين والمتطلبات المتعلقة بإدارة الأموال.</t>
  </si>
  <si>
    <t>الموازنة</t>
  </si>
  <si>
    <t>خطة تقدّر الإيرادات والمصروفات المتوقعة خلال فترة معينة.</t>
  </si>
  <si>
    <t>تخصيص المال والوقت والأفراد والمعدات حسب الأولويات والاحتياجات.</t>
  </si>
  <si>
    <t>المخاطر المالية</t>
  </si>
  <si>
    <t>أحداث قد تسبب خسارة مالية أو نقصًا في الموارد أو صعوبة في الاستمرار.</t>
  </si>
  <si>
    <t>المساءلة</t>
  </si>
  <si>
    <t>توضيح كيفية استخدام الأموال وتحمل المسؤولية عن القرارات والنتائج.</t>
  </si>
  <si>
    <t>الحوكمة</t>
  </si>
  <si>
    <t>القواعد والأدوار والإجراءات التي تنظّم إدارة المؤسسة واتخاذ القرارات فيها.</t>
  </si>
  <si>
    <t>الأهداف الاستراتيجية</t>
  </si>
  <si>
    <t>النتائج الكبيرة التي تريد المؤسسة تحقيقها على المدى المتوسط أو الطويل.</t>
  </si>
  <si>
    <t>تخطيط المشروع وتنفيذه ومتابعته وإنهاؤه ضمن الوقت والموارد المحددة.</t>
  </si>
  <si>
    <t>الموازنة الخاصة بالمشروع</t>
  </si>
  <si>
    <t>المبلغ المخطط لإنفاقه على أنشطة المشروع المختلفة.</t>
  </si>
  <si>
    <t>تحديد رؤية المؤسسة ورسالتها وأهدافها ووضع خطط عملية لتحقيقها.</t>
  </si>
  <si>
    <t>الرؤية</t>
  </si>
  <si>
    <t>الصورة أو الوضع الذي تطمح المؤسسة إلى الوصول إليه مستقبلًا.</t>
  </si>
  <si>
    <t>الرسالة</t>
  </si>
  <si>
    <t>سبب وجود المؤسسة وما تقدمه ولمن تقدمه.</t>
  </si>
  <si>
    <t>SMART</t>
  </si>
  <si>
    <t>طريقة لصياغة الأهداف بحيث تكون محددة، وقابلة للقياس، وقابلة للتحقيق، ومرتبطة بالهدف، ومحددة بزمن.</t>
  </si>
  <si>
    <t>سجل المرفقات الداعمة والتحقق لمحاور KPI</t>
  </si>
  <si>
    <t>المرفقات الداعمة محتملة واختيارية. لا يشترط تقديم مرفق لكل سؤال، ويمكن لمرفق واحد أن يدعم أكثر من سؤال. يرجى إخفاء البيانات الشخصية والمالية الحساسة.</t>
  </si>
  <si>
    <t>رقم السؤال</t>
  </si>
  <si>
    <t>المرفقات الداعمة المحتملة</t>
  </si>
  <si>
    <t>اسم المرفق المرسل</t>
  </si>
  <si>
    <t>حالة التحقق</t>
  </si>
  <si>
    <t>ملاحظات</t>
  </si>
  <si>
    <t>1</t>
  </si>
  <si>
    <t>خطة تواصل أو توعية، منشورات أو مواد إعلامية، رابط موقع أو صفحة إلكترونية، أو تقرير نتائج حملة.</t>
  </si>
  <si>
    <t>2</t>
  </si>
  <si>
    <t>دعوة أو شهادة حضور، عرض تقديمي، ورقة أو منشور، محضر اجتماع، أو رابط مشاركة المؤسسة.</t>
  </si>
  <si>
    <t>3</t>
  </si>
  <si>
    <t>خطة أو سياسة مناصرة، رسائل للجهات المعنية، محاضر لقاءات، مواد توعية، أو أمثلة على حشد الدعم.</t>
  </si>
  <si>
    <t>4</t>
  </si>
  <si>
    <t>دليل تدريبي، خطة جلسة، مادة تدريبية، نموذج يوضح أساليب تعليم الكبار، أو تقرير تدريب للمدربين.</t>
  </si>
  <si>
    <t>5</t>
  </si>
  <si>
    <t>اتفاقية أو مذكرة تفاهم، قائمة شركاء، محضر اجتماع مشترك، خطة تعاون، أو تقرير نشاط مشترك.</t>
  </si>
  <si>
    <t>6</t>
  </si>
  <si>
    <t>خطة تدريب، سجل حضور، شهادات، مواد تدريب، تقييم بعد التدريب، أو خطة متابعة التطبيق.</t>
  </si>
  <si>
    <t>قائمة البرامج، وصف البرامج، خطة سنوية، جدول الدورات، أو تقرير ارتباط البرامج باحتياجات المتعلمين.</t>
  </si>
  <si>
    <t>نسخة من المنهج أو الدليل التدريبي، نموذج مراجعة المحتوى، محضر مراجعة، أو سجل تحديث المناهج.</t>
  </si>
  <si>
    <t>جدول الدورات الوجاهية والرقمية والمدمجة، رابط المنصة، لقطات من البيئة الرقمية، أو دليل استخدام المنصة.</t>
  </si>
  <si>
    <t>سياسة أو إجراءات التسجيل، إعلان البرنامج، ترتيبات تيسيرية، خطة إزالة العوائق، أو دليل سهولة الوصول.</t>
  </si>
  <si>
    <t>نموذج تقييم، استبيان رضا، ملخص النتائج، تقرير ملاحظات، أو مثال على تعديل بناءً على آراء المشاركين.</t>
  </si>
  <si>
    <t>نموذج جلسة إرشاد، خطة خدمة، سجل إحالات، دليل الخدمات، أو تقرير عام عن المستفيدين.</t>
  </si>
  <si>
    <t>7</t>
  </si>
  <si>
    <t>جدول زمني، سجل حضور، تقرير تنفيذ، خطة دورة، أو محضر متابعة الالتزام بالمواعيد.</t>
  </si>
  <si>
    <t>8</t>
  </si>
  <si>
    <t>سياسة أو قائمة معايير جودة، نموذج ملاحظة جلسة، تقرير متابعة، تقييم نتائج التعلم، أو خطة تصحيحية.</t>
  </si>
  <si>
    <t>9</t>
  </si>
  <si>
    <t>سياسة شمول، خطة وصول، بيانات مشاركة مجمعة، مواد ميسرة، أو ترتيبات خاصة للفئات المستهدفة.</t>
  </si>
  <si>
    <t>دراسة احتياجات، استبيان، مقابلات، مجموعات نقاش، تقرير بحث مجتمعي، أو محضر جلسة تشاور.</t>
  </si>
  <si>
    <t>خطة حملة، منشورات، إعلانات، قائمة قنوات الوصول، أرقام تسجيل، أو تقرير نتائج الحملة.</t>
  </si>
  <si>
    <t>سياسة دعم، سجل متابعة عام، خطة للحد من الانقطاع، خدمات إحالة، أو تقرير إجراءات مساعدة المتعلمين.</t>
  </si>
  <si>
    <t>أداة قياس قبلية وبعدية، استبيانات، تقرير نتائج، مؤشرات متابعة، أو قصص نجاح موثقة.</t>
  </si>
  <si>
    <t>سجل تواصل مع الخريجين، خطة أنشطة، دعوات أو محاضر، تقرير مبادرة، أو قصة أثر.</t>
  </si>
  <si>
    <t>خطة ترويج، منشورات، إعلانات، رابط إلكتروني، مادة تعريفية، أو بيانات التسجيل.</t>
  </si>
  <si>
    <t>محاضر جلسات مجتمعية، نتائج استبيانات، قائمة مقترحات، أو مثال على تعديل برنامج بناءً على رأي المجتمع.</t>
  </si>
  <si>
    <t>خطة تواصل تتضمن الجمهور والرسائل والقنوات والجدول الزمني والمسؤوليات، مع مثال على التنفيذ.</t>
  </si>
  <si>
    <t>محاضر اجتماعات، تعاميم، نشرات داخلية، رسائل بريد إلكتروني، أو سجل مشاركة المعلومات مع الفريق.</t>
  </si>
  <si>
    <t>خطة حملة، مواد إعلامية، أخبار أو مقابلات، منشورات، أو تقرير عن الوصول والتفاعل.</t>
  </si>
  <si>
    <t>رابط الموقع، حسابات التواصل الاجتماعي، خطة محتوى، أمثلة منشورات، أو إحصاءات وصول عامة.</t>
  </si>
  <si>
    <t>استبيان أو نموذج ملاحظات، ملخص تحليل الآراء، وقرار أو تعديل تم بناءً عليها.</t>
  </si>
  <si>
    <t>سياسة نشر المعلومات، تقرير سنوي، معلومات منشورة عن البرامج، آلية للشكاوى، أو دليل إفصاح واضح.</t>
  </si>
  <si>
    <t>هيكل تنظيمي، أوصاف وظيفية، مصفوفة مسؤوليات، أو قرار تكليف.</t>
  </si>
  <si>
    <t>سياسة توظيف، إعلان وظيفة، معايير اختيار، نموذج مقابلة، أو محضر لجنة الاختيار.</t>
  </si>
  <si>
    <t>خطة تدريب، تحليل احتياجات تدريبية، سجل حضور، شهادات، أو خطة تطوير فردية.</t>
  </si>
  <si>
    <t>نموذج تقييم، جدول مواعيد التقييم، ملخص نتائج، أو خطة تحسين أداء.</t>
  </si>
  <si>
    <t>سياسة تطوع، وصف مهام، سجل متطوعين، اتفاقية تطوع، أو خطة توجيه ومتابعة.</t>
  </si>
  <si>
    <t>استبيان رضا، خطة رفاه، إجراءات دعم العاملين، محضر نقاش، أو دليل تحسين بيئة العمل.</t>
  </si>
  <si>
    <t>قائمة مصادر التمويل، خطة جمع تمويل، سجل منح أو تبرعات، أو تحليل تنوع المصادر.</t>
  </si>
  <si>
    <t>خطة أو سجل تواصل مع المانحين، تقارير، رسائل شكر، محاضر اجتماعات، أو خطة متابعة العلاقة.</t>
  </si>
  <si>
    <t>مقترحات مشاريع سابقة، قالب كتابة، قائمة فرص تمويل، أو سجل الطلبات ونتائجها.</t>
  </si>
  <si>
    <t>خطة مالية متعددة السنوات، توقعات إيرادات ومصروفات، خطة استدامة، أو سيناريوهات تمويل.</t>
  </si>
  <si>
    <t>خطة تدريب، مواد أو ورش كتابة مشاريع، سجل حضور، تقييم مهارات، أو توزيع أدوار الفريق.</t>
  </si>
  <si>
    <t>سجل المباني والمرافق، خطة صيانة، قوائم فحص، عقود صيانة، أو تقرير حالة المرافق.</t>
  </si>
  <si>
    <t>سجل أصول، قائمة أجهزة، خطة صيانة، سجل أعطال وإصلاحات، أو سياسة استخدام الأجهزة.</t>
  </si>
  <si>
    <t>سياسة سلامة، تقييم مخاطر، خطة إخلاء، سجلات فحص، تدريب طوارئ، أو تقرير حادث.</t>
  </si>
  <si>
    <t>تراخيص، شهادات فحص، سياسة امتثال، سجلات تجديد، أو قائمة المتطلبات القانونية.</t>
  </si>
  <si>
    <t>صور أو مخطط للمرافق، تجهيزات وصول، سياسة تيسير، ترتيبات خاصة، أو تقييم احتياجات ذوي الإعاقة.</t>
  </si>
  <si>
    <t>وصف النظام المحاسبي، دليل إجراءات، نماذج قيود أو تقارير، أو لقطة من النظام بعد إخفاء البيانات السرية.</t>
  </si>
  <si>
    <t>سياسة مالية، مصفوفة صلاحيات، فصل مهام، نماذج موافقات، أو تقرير مراجعة مالية.</t>
  </si>
  <si>
    <t>موازنة سنوية، خطة مالية، تقرير مقارنة بين المخطط والفعلي، أو محضر اعتماد الموازنة.</t>
  </si>
  <si>
    <t>تقرير تحليل مالي، مؤشرات مالية، محضر قرار مبني على البيانات، أو تقرير دوري للإدارة.</t>
  </si>
  <si>
    <t>موازنة موزعة على البرامج، معايير تخصيص، خطة شراء، أو محضر اعتماد الأولويات.</t>
  </si>
  <si>
    <t>سجل مخاطر، تقييم المخاطر، خطة تخفيف، أو إجراءات للتعامل مع نقص التمويل.</t>
  </si>
  <si>
    <t>تقارير شهرية أو ربع سنوية، تقرير إقفال، تقرير مدقق، أو محضر مراجعة واعتماد.</t>
  </si>
  <si>
    <t>نظام داخلي أو سياسة اتخاذ القرار، دعوة اجتماع، أجندة، محضر اجتماع، قائمة حضور، أو سجل قرارات.</t>
  </si>
  <si>
    <t>الخطة الاستراتيجية، خطة العمل، موازنة مرتبطة بالأهداف، أو محضر يوضح أساس القرار.</t>
  </si>
  <si>
    <t>تقرير مراجعة، تقييم مؤسسي، محاضر اجتماعات، خطة تحسين، أو سجل تعديلات إدارية.</t>
  </si>
  <si>
    <t>خطة تدريب، شهادات، مواد تدريب، تقرير تطبيق، أو تقييم بعد التدريب.</t>
  </si>
  <si>
    <t>وثيقة الرؤية والرسالة، الخطة الاستراتيجية، الأهداف، خطة التنفيذ، أو محضر اعتماد الخطة.</t>
  </si>
  <si>
    <t>نموذج تخطيط مشروع، جدول زمني، موازنة، سجل مخاطر، تقارير تقدم، أو تقرير إغلاق المشروع.</t>
  </si>
  <si>
    <t>سياسة أو صندوق أفكار، سجل مقترحات، محضر تقييم الأفكار، تجربة تجريبية، أو أمثلة تحسينات منفذة.</t>
  </si>
  <si>
    <t>كشف مستويات مؤشرات الاداء الرئيسية</t>
  </si>
  <si>
    <t>المستوى المأمول</t>
  </si>
  <si>
    <t>أصحاب المصلحة</t>
  </si>
  <si>
    <t>مؤشر  البنية التحتية والمعدات وتكنولوجيا المعلومات</t>
  </si>
  <si>
    <t xml:space="preserve">المستوى الأساسي </t>
  </si>
  <si>
    <t>على المستوى الاولي تبدأ المؤسسة في الانتقال تدريجيًا من الممارسات غير الرسمية والاعتماد على المبادرات الشخصية إلى أسلوب عمل أكثر تنظيمًا. يظهر وعي متزايد بأهمية وجود هياكل وإجراءات واضحة، وتبدأ المؤسسة بوضع بعض الممارسات الأساسية وتنظيم الأدوار والمسؤوليات، إلا أن هذه الجهود لا تزال في مراحلها الأولى وقد لا تكون موثقة أو مطبقة بشكل منتظم.
تظل بعض العمليات معتمدة على الخبرة الشخصية والاجتهاد الفردي، مع وجود محاولات أولية لتوحيد أساليب العمل وتحسين التنسيق واتخاذ القرار. وتبدأ المؤسسة بإدراك الحاجة إلى تطوير سياسات وإجراءات تساعدها على العمل بصورة أكثر اتساقًا، إلا أن تطبيقها قد يختلف من مجال إلى آخر.
تتميز هذه المرحلة بوجود بداية واضحة للانتقال نحو التنظيم، مع استمرار قدر من المرونة والاعتماد على الممارسات غير الرسمية. وتمثل هذه المرحلة خطوة مهمة نحو بناء الهياكل والأنظمة الأساسية التي ستساعد المنظمة لاحقًا على تحقيق قدر أكبر من الاتساق والكفاءة والاستدامة.</t>
  </si>
  <si>
    <t>المستوى الأساسي</t>
  </si>
  <si>
    <t>المستوى الأولي</t>
  </si>
  <si>
    <t>H5+H10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</si>
</sst>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1">
    <font>
      <sz val="11"/>
      <name val="Carlito"/>
    </font>
    <font>
      <sz val="11"/>
      <color theme="1"/>
      <name val="Calibri"/>
      <family val="2"/>
      <scheme val="minor"/>
    </font>
    <font>
      <b/>
      <sz val="11"/>
      <color rgb="FFFFFFFF"/>
      <name val="Carlito"/>
    </font>
    <font>
      <b/>
      <sz val="11"/>
      <name val="Carlito"/>
    </font>
    <font>
      <b/>
      <sz val="11"/>
      <color theme="1"/>
      <name val="Calibri"/>
      <family val="2"/>
      <scheme val="minor"/>
    </font>
    <font>
      <sz val="28"/>
      <color rgb="FFC00000"/>
      <name val="سشن"/>
    </font>
    <font>
      <b/>
      <sz val="16"/>
      <name val="Sakkal Majalla"/>
    </font>
    <font>
      <b/>
      <sz val="20"/>
      <name val="Sakkal Majalla"/>
    </font>
    <font>
      <b/>
      <sz val="18"/>
      <color theme="1"/>
      <name val="Sakkal Majalla"/>
    </font>
    <font>
      <sz val="14"/>
      <color theme="1"/>
      <name val="Sakkal Majalla"/>
    </font>
    <font>
      <b/>
      <sz val="28"/>
      <color theme="1"/>
      <name val="Sakkal Majalla"/>
    </font>
    <font>
      <b/>
      <sz val="20"/>
      <color theme="1"/>
      <name val="Sakkal Majalla"/>
    </font>
    <font>
      <b/>
      <sz val="20"/>
      <color theme="1"/>
      <name val="Calibri"/>
      <family val="2"/>
      <scheme val="minor"/>
    </font>
    <font>
      <b/>
      <sz val="20"/>
      <color rgb="FFC00000"/>
      <name val="Calibri"/>
      <family val="2"/>
      <scheme val="minor"/>
    </font>
    <font>
      <b/>
      <sz val="22"/>
      <color rgb="FF002060"/>
      <name val="سشن"/>
    </font>
    <font>
      <sz val="13"/>
      <color theme="1"/>
      <name val="Sakkal Majalla"/>
    </font>
    <font>
      <b/>
      <sz val="14"/>
      <color theme="1"/>
      <name val="سشن"/>
    </font>
    <font>
      <b/>
      <sz val="14"/>
      <color rgb="FFC00000"/>
      <name val="سشن"/>
    </font>
    <font>
      <b/>
      <sz val="11"/>
      <color rgb="FFC00000"/>
      <name val="Calibri"/>
      <family val="2"/>
      <scheme val="minor"/>
    </font>
    <font>
      <sz val="11"/>
      <name val="Calibri"/>
      <family val="2"/>
      <scheme val="minor"/>
    </font>
    <font>
      <b/>
      <sz val="11"/>
      <color rgb="FFFFFFFF"/>
      <name val="Calibri"/>
      <family val="2"/>
      <scheme val="minor"/>
    </font>
    <font>
      <b/>
      <sz val="22"/>
      <color rgb="FF002060"/>
      <name val="Calibri"/>
      <family val="2"/>
      <scheme val="minor"/>
    </font>
    <font>
      <b/>
      <sz val="22"/>
      <name val="Calibri"/>
      <family val="2"/>
      <scheme val="minor"/>
    </font>
    <font>
      <b/>
      <sz val="26"/>
      <color rgb="FFC00000"/>
      <name val="Calibri"/>
      <family val="2"/>
      <scheme val="minor"/>
    </font>
    <font>
      <b/>
      <sz val="28"/>
      <color rgb="FFC00000"/>
      <name val="Calibri"/>
      <family val="2"/>
      <scheme val="minor"/>
    </font>
    <font>
      <b/>
      <sz val="16"/>
      <name val="Carlito"/>
    </font>
    <font>
      <sz val="14"/>
      <name val="Carlito"/>
    </font>
    <font>
      <b/>
      <sz val="14"/>
      <name val="Carlito"/>
    </font>
    <font>
      <b/>
      <sz val="16"/>
      <color rgb="FFFFFFFF"/>
      <name val="Arial"/>
      <family val="2"/>
    </font>
    <font>
      <i/>
      <sz val="10"/>
      <color rgb="FF404040"/>
      <name val="Arial"/>
      <family val="2"/>
    </font>
    <font>
      <b/>
      <sz val="10"/>
      <color rgb="FFFFFFFF"/>
      <name val="Arial"/>
      <family val="2"/>
    </font>
    <font>
      <sz val="10"/>
      <color rgb="FF000000"/>
      <name val="Arial"/>
      <family val="2"/>
    </font>
    <font>
      <b/>
      <sz val="22"/>
      <color theme="2"/>
      <name val="Carlito"/>
    </font>
    <font>
      <b/>
      <sz val="20"/>
      <color theme="2"/>
      <name val="Sakkal Majalla"/>
    </font>
    <font>
      <b/>
      <sz val="16"/>
      <color theme="2"/>
      <name val="Sakkal Majalla"/>
    </font>
    <font>
      <b/>
      <sz val="18"/>
      <color theme="2"/>
      <name val="Sakkal Majalla"/>
    </font>
    <font>
      <b/>
      <sz val="16"/>
      <color theme="2"/>
      <name val="Calibri"/>
      <family val="2"/>
      <scheme val="minor"/>
    </font>
    <font>
      <sz val="16"/>
      <color theme="2"/>
      <name val="Carlito"/>
    </font>
    <font>
      <b/>
      <sz val="16"/>
      <color theme="2"/>
      <name val="Arial"/>
      <family val="2"/>
    </font>
    <font>
      <b/>
      <sz val="14"/>
      <color rgb="FF002060"/>
      <name val="Calibri"/>
      <family val="2"/>
      <scheme val="minor"/>
    </font>
    <font>
      <sz val="11"/>
      <color theme="1"/>
      <name val="Carlito"/>
    </font>
  </fonts>
  <fills count="25">
    <fill>
      <patternFill patternType="none"/>
    </fill>
    <fill>
      <patternFill patternType="gray125"/>
    </fill>
    <fill>
      <patternFill patternType="solid">
        <fgColor rgb="FF1F4E78"/>
      </patternFill>
    </fill>
    <fill>
      <patternFill patternType="solid">
        <fgColor rgb="FFD9EAF7"/>
      </patternFill>
    </fill>
    <fill>
      <patternFill patternType="solid">
        <fgColor theme="3" tint="0.79998168889431442"/>
        <bgColor indexed="64"/>
      </patternFill>
    </fill>
    <fill>
      <patternFill patternType="solid">
        <fgColor theme="3" tint="0.79998168889431442"/>
        <bgColor rgb="FF351C75"/>
      </patternFill>
    </fill>
    <fill>
      <patternFill patternType="solid">
        <fgColor theme="0"/>
        <bgColor indexed="64"/>
      </patternFill>
    </fill>
    <fill>
      <patternFill patternType="solid">
        <fgColor theme="4" tint="0.79998168889431442"/>
        <bgColor indexed="64"/>
      </patternFill>
    </fill>
    <fill>
      <patternFill patternType="solid">
        <fgColor theme="3" tint="0.89999084444715716"/>
        <bgColor rgb="FFD9EAD3"/>
      </patternFill>
    </fill>
    <fill>
      <patternFill patternType="solid">
        <fgColor theme="3" tint="0.89999084444715716"/>
        <bgColor rgb="FFB6D7A8"/>
      </patternFill>
    </fill>
    <fill>
      <patternFill patternType="solid">
        <fgColor theme="3" tint="0.89999084444715716"/>
        <bgColor rgb="FF93C47D"/>
      </patternFill>
    </fill>
    <fill>
      <patternFill patternType="solid">
        <fgColor theme="3" tint="0.89999084444715716"/>
        <bgColor rgb="FF6AA84F"/>
      </patternFill>
    </fill>
    <fill>
      <patternFill patternType="solid">
        <fgColor theme="3" tint="0.89999084444715716"/>
        <bgColor indexed="64"/>
      </patternFill>
    </fill>
    <fill>
      <patternFill patternType="solid">
        <fgColor theme="3" tint="0.499984740745262"/>
        <bgColor indexed="64"/>
      </patternFill>
    </fill>
    <fill>
      <patternFill patternType="solid">
        <fgColor theme="3" tint="0.499984740745262"/>
        <bgColor rgb="FF4C1130"/>
      </patternFill>
    </fill>
    <fill>
      <patternFill patternType="solid">
        <fgColor rgb="FF5B9BD5"/>
      </patternFill>
    </fill>
    <fill>
      <patternFill patternType="solid">
        <fgColor rgb="FFF3F7FA"/>
      </patternFill>
    </fill>
    <fill>
      <patternFill patternType="solid">
        <fgColor theme="3" tint="9.9978637043366805E-2"/>
        <bgColor indexed="64"/>
      </patternFill>
    </fill>
    <fill>
      <patternFill patternType="solid">
        <fgColor theme="3" tint="9.9978637043366805E-2"/>
        <bgColor rgb="FFD9EAD3"/>
      </patternFill>
    </fill>
    <fill>
      <patternFill patternType="solid">
        <fgColor theme="3" tint="9.9978637043366805E-2"/>
        <bgColor rgb="FFB6D7A8"/>
      </patternFill>
    </fill>
    <fill>
      <patternFill patternType="solid">
        <fgColor theme="3" tint="9.9978637043366805E-2"/>
        <bgColor rgb="FF93C47D"/>
      </patternFill>
    </fill>
    <fill>
      <patternFill patternType="solid">
        <fgColor theme="3" tint="9.9978637043366805E-2"/>
        <bgColor rgb="FF6AA84F"/>
      </patternFill>
    </fill>
    <fill>
      <patternFill patternType="solid">
        <fgColor theme="3" tint="0.249977111117893"/>
        <bgColor rgb="FF351C75"/>
      </patternFill>
    </fill>
    <fill>
      <patternFill patternType="solid">
        <fgColor theme="3" tint="0.89999084444715716"/>
        <bgColor rgb="FFFFFFFF"/>
      </patternFill>
    </fill>
    <fill>
      <patternFill patternType="solid">
        <fgColor theme="3" tint="0.749992370372631"/>
        <bgColor indexed="64"/>
      </patternFill>
    </fill>
  </fills>
  <borders count="42">
    <border>
      <left/>
      <right/>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style="thin">
        <color indexed="64"/>
      </top>
      <bottom/>
      <diagonal/>
    </border>
    <border>
      <left/>
      <right/>
      <top style="medium">
        <color indexed="64"/>
      </top>
      <bottom/>
      <diagonal/>
    </border>
    <border>
      <left/>
      <right/>
      <top/>
      <bottom style="thin">
        <color indexed="64"/>
      </bottom>
      <diagonal/>
    </border>
    <border>
      <left style="medium">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theme="1"/>
      </left>
      <right style="medium">
        <color theme="1"/>
      </right>
      <top style="medium">
        <color theme="1"/>
      </top>
      <bottom style="medium">
        <color theme="1"/>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rgb="FF9EADBA"/>
      </left>
      <right style="thin">
        <color rgb="FF9EADBA"/>
      </right>
      <top style="thin">
        <color rgb="FF9EADBA"/>
      </top>
      <bottom style="thin">
        <color rgb="FF9EADBA"/>
      </bottom>
      <diagonal/>
    </border>
  </borders>
  <cellStyleXfs count="1">
    <xf numFmtId="0" fontId="0" fillId="0" borderId="0"/>
  </cellStyleXfs>
  <cellXfs count="204">
    <xf numFmtId="0" fontId="0" fillId="0" borderId="0" xfId="0"/>
    <xf numFmtId="0" fontId="3" fillId="3" borderId="0" xfId="0" applyNumberFormat="1" applyFont="1" applyFill="1" applyBorder="1" applyAlignment="1">
      <alignment horizontal="center" vertical="center" wrapText="1"/>
    </xf>
    <xf numFmtId="0" fontId="0" fillId="0" borderId="0" xfId="0" applyNumberFormat="1" applyFont="1" applyFill="1" applyBorder="1" applyAlignment="1">
      <alignment horizontal="right" wrapText="1"/>
    </xf>
    <xf numFmtId="0" fontId="0" fillId="0" borderId="0" xfId="0" applyNumberFormat="1" applyFont="1" applyFill="1" applyBorder="1" applyAlignment="1">
      <alignment horizontal="right"/>
    </xf>
    <xf numFmtId="0" fontId="6" fillId="5" borderId="3" xfId="0" applyFont="1" applyFill="1" applyBorder="1" applyAlignment="1">
      <alignment horizontal="center" vertical="top" wrapText="1"/>
    </xf>
    <xf numFmtId="0" fontId="6" fillId="5" borderId="4" xfId="0" applyFont="1" applyFill="1" applyBorder="1" applyAlignment="1">
      <alignment horizontal="center" vertical="top" wrapText="1"/>
    </xf>
    <xf numFmtId="0" fontId="6" fillId="5" borderId="5" xfId="0" applyFont="1" applyFill="1" applyBorder="1" applyAlignment="1">
      <alignment horizontal="center" vertical="top" wrapText="1"/>
    </xf>
    <xf numFmtId="0" fontId="6" fillId="5" borderId="8" xfId="0" applyFont="1" applyFill="1" applyBorder="1" applyAlignment="1">
      <alignment horizontal="center" vertical="top" wrapText="1"/>
    </xf>
    <xf numFmtId="0" fontId="7" fillId="5" borderId="9" xfId="0" applyFont="1" applyFill="1" applyBorder="1" applyAlignment="1">
      <alignment horizontal="center" vertical="top" wrapText="1"/>
    </xf>
    <xf numFmtId="0" fontId="7" fillId="5" borderId="5" xfId="0" applyFont="1" applyFill="1" applyBorder="1" applyAlignment="1">
      <alignment horizontal="center" vertical="top" wrapText="1"/>
    </xf>
    <xf numFmtId="0" fontId="7" fillId="5" borderId="10" xfId="0" applyFont="1" applyFill="1" applyBorder="1" applyAlignment="1">
      <alignment horizontal="center" vertical="top" wrapText="1"/>
    </xf>
    <xf numFmtId="0" fontId="9" fillId="0" borderId="3" xfId="0" applyFont="1" applyBorder="1" applyAlignment="1">
      <alignment horizontal="right" vertical="center"/>
    </xf>
    <xf numFmtId="0" fontId="0" fillId="0" borderId="3" xfId="0" applyBorder="1" applyAlignment="1">
      <alignment horizontal="center" vertical="center"/>
    </xf>
    <xf numFmtId="0" fontId="0" fillId="0" borderId="12" xfId="0" applyBorder="1" applyAlignment="1">
      <alignment horizontal="center" vertical="center"/>
    </xf>
    <xf numFmtId="0" fontId="0" fillId="0" borderId="6" xfId="0" applyBorder="1" applyAlignment="1">
      <alignment horizontal="center" vertical="center"/>
    </xf>
    <xf numFmtId="0" fontId="9" fillId="0" borderId="7" xfId="0" applyFont="1" applyBorder="1" applyAlignment="1">
      <alignment horizontal="right" vertical="center"/>
    </xf>
    <xf numFmtId="0" fontId="0" fillId="0" borderId="13" xfId="0" applyBorder="1" applyAlignment="1">
      <alignment horizontal="center" vertical="center"/>
    </xf>
    <xf numFmtId="0" fontId="9" fillId="0" borderId="15" xfId="0" applyFont="1" applyBorder="1" applyAlignment="1">
      <alignment horizontal="right" vertical="center"/>
    </xf>
    <xf numFmtId="0" fontId="9" fillId="0" borderId="14" xfId="0" applyFont="1" applyBorder="1" applyAlignment="1">
      <alignment horizontal="right" vertical="center"/>
    </xf>
    <xf numFmtId="0" fontId="9" fillId="4" borderId="8" xfId="0" applyFont="1" applyFill="1" applyBorder="1" applyAlignment="1">
      <alignment horizontal="right" vertical="center"/>
    </xf>
    <xf numFmtId="0" fontId="0" fillId="4" borderId="16" xfId="0" applyFill="1" applyBorder="1" applyAlignment="1">
      <alignment horizontal="center" vertical="center"/>
    </xf>
    <xf numFmtId="0" fontId="9" fillId="4" borderId="7" xfId="0" applyFont="1" applyFill="1" applyBorder="1" applyAlignment="1">
      <alignment horizontal="right" vertical="center"/>
    </xf>
    <xf numFmtId="0" fontId="0" fillId="4" borderId="17" xfId="0" applyFill="1" applyBorder="1" applyAlignment="1">
      <alignment horizontal="center" vertical="center"/>
    </xf>
    <xf numFmtId="0" fontId="11" fillId="0" borderId="3" xfId="0" applyFont="1" applyBorder="1" applyAlignment="1">
      <alignment vertical="center"/>
    </xf>
    <xf numFmtId="0" fontId="12" fillId="0" borderId="5" xfId="0" applyFont="1" applyBorder="1" applyAlignment="1">
      <alignment horizontal="center" vertical="center"/>
    </xf>
    <xf numFmtId="0" fontId="11" fillId="0" borderId="10" xfId="0" applyFont="1" applyBorder="1" applyAlignment="1">
      <alignment vertical="center"/>
    </xf>
    <xf numFmtId="0" fontId="12" fillId="0" borderId="9" xfId="0" applyFont="1" applyBorder="1" applyAlignment="1">
      <alignment horizontal="center" vertical="center"/>
    </xf>
    <xf numFmtId="0" fontId="12" fillId="0" borderId="11" xfId="0" applyFont="1" applyBorder="1" applyAlignment="1">
      <alignment horizontal="center" vertical="center"/>
    </xf>
    <xf numFmtId="0" fontId="12" fillId="0" borderId="10" xfId="0" applyFont="1" applyBorder="1" applyAlignment="1">
      <alignment horizontal="center" vertical="center"/>
    </xf>
    <xf numFmtId="0" fontId="11" fillId="0" borderId="8" xfId="0" applyFont="1" applyBorder="1" applyAlignment="1">
      <alignment vertical="center"/>
    </xf>
    <xf numFmtId="0" fontId="11" fillId="0" borderId="23" xfId="0" applyFont="1" applyBorder="1" applyAlignment="1">
      <alignment vertical="center"/>
    </xf>
    <xf numFmtId="0" fontId="14" fillId="0" borderId="0" xfId="0" applyFont="1" applyAlignment="1">
      <alignment horizontal="center" vertical="center"/>
    </xf>
    <xf numFmtId="0" fontId="0" fillId="4" borderId="5" xfId="0" applyFill="1" applyBorder="1" applyAlignment="1">
      <alignment horizontal="right" vertical="top" wrapText="1" readingOrder="2"/>
    </xf>
    <xf numFmtId="0" fontId="15" fillId="4" borderId="4" xfId="0" applyFont="1" applyFill="1" applyBorder="1" applyAlignment="1">
      <alignment horizontal="center" vertical="center" wrapText="1"/>
    </xf>
    <xf numFmtId="0" fontId="15" fillId="4" borderId="24" xfId="0" applyFont="1" applyFill="1" applyBorder="1" applyAlignment="1">
      <alignment horizontal="center" vertical="center" wrapText="1"/>
    </xf>
    <xf numFmtId="0" fontId="15" fillId="4" borderId="3" xfId="0" applyFont="1" applyFill="1" applyBorder="1" applyAlignment="1">
      <alignment horizontal="center" vertical="center" wrapText="1"/>
    </xf>
    <xf numFmtId="0" fontId="15" fillId="4" borderId="6" xfId="0" applyFont="1" applyFill="1" applyBorder="1" applyAlignment="1">
      <alignment horizontal="center" vertical="center" wrapText="1"/>
    </xf>
    <xf numFmtId="0" fontId="0" fillId="0" borderId="5" xfId="0" applyBorder="1" applyAlignment="1">
      <alignment horizontal="right" vertical="top" wrapText="1" readingOrder="2"/>
    </xf>
    <xf numFmtId="0" fontId="15" fillId="6" borderId="26" xfId="0" applyFont="1" applyFill="1" applyBorder="1" applyAlignment="1">
      <alignment horizontal="center" vertical="center" wrapText="1" readingOrder="2"/>
    </xf>
    <xf numFmtId="0" fontId="15" fillId="6" borderId="18" xfId="0" applyFont="1" applyFill="1" applyBorder="1" applyAlignment="1">
      <alignment horizontal="center" vertical="center" wrapText="1" readingOrder="2"/>
    </xf>
    <xf numFmtId="0" fontId="15" fillId="6" borderId="2" xfId="0" applyFont="1" applyFill="1" applyBorder="1" applyAlignment="1">
      <alignment horizontal="center" vertical="center" wrapText="1" readingOrder="2"/>
    </xf>
    <xf numFmtId="0" fontId="15" fillId="6" borderId="16" xfId="0" applyFont="1" applyFill="1" applyBorder="1" applyAlignment="1">
      <alignment horizontal="center" vertical="center" wrapText="1" readingOrder="2"/>
    </xf>
    <xf numFmtId="0" fontId="15" fillId="4" borderId="4" xfId="0" applyFont="1" applyFill="1" applyBorder="1" applyAlignment="1">
      <alignment horizontal="center" vertical="center" wrapText="1" readingOrder="2"/>
    </xf>
    <xf numFmtId="0" fontId="15" fillId="4" borderId="24" xfId="0" applyFont="1" applyFill="1" applyBorder="1" applyAlignment="1">
      <alignment horizontal="center" vertical="center" wrapText="1" readingOrder="2"/>
    </xf>
    <xf numFmtId="0" fontId="15" fillId="4" borderId="3" xfId="0" applyFont="1" applyFill="1" applyBorder="1" applyAlignment="1">
      <alignment horizontal="center" vertical="center" wrapText="1" readingOrder="2"/>
    </xf>
    <xf numFmtId="0" fontId="15" fillId="4" borderId="6" xfId="0" applyFont="1" applyFill="1" applyBorder="1" applyAlignment="1">
      <alignment horizontal="center" vertical="center" wrapText="1" readingOrder="2"/>
    </xf>
    <xf numFmtId="0" fontId="15" fillId="6" borderId="4" xfId="0" applyFont="1" applyFill="1" applyBorder="1" applyAlignment="1">
      <alignment horizontal="center" vertical="center" wrapText="1" readingOrder="2"/>
    </xf>
    <xf numFmtId="0" fontId="15" fillId="6" borderId="24" xfId="0" applyFont="1" applyFill="1" applyBorder="1" applyAlignment="1">
      <alignment horizontal="center" vertical="center" wrapText="1" readingOrder="2"/>
    </xf>
    <xf numFmtId="0" fontId="15" fillId="6" borderId="3" xfId="0" applyFont="1" applyFill="1" applyBorder="1" applyAlignment="1">
      <alignment horizontal="center" vertical="center" wrapText="1" readingOrder="2"/>
    </xf>
    <xf numFmtId="0" fontId="15" fillId="6" borderId="6" xfId="0" applyFont="1" applyFill="1" applyBorder="1" applyAlignment="1">
      <alignment horizontal="center" vertical="center" wrapText="1" readingOrder="2"/>
    </xf>
    <xf numFmtId="0" fontId="15" fillId="6" borderId="27" xfId="0" applyFont="1" applyFill="1" applyBorder="1" applyAlignment="1">
      <alignment horizontal="center" vertical="center" wrapText="1" readingOrder="2"/>
    </xf>
    <xf numFmtId="0" fontId="15" fillId="6" borderId="28" xfId="0" applyFont="1" applyFill="1" applyBorder="1" applyAlignment="1">
      <alignment horizontal="center" vertical="center" wrapText="1" readingOrder="2"/>
    </xf>
    <xf numFmtId="0" fontId="15" fillId="6" borderId="15" xfId="0" applyFont="1" applyFill="1" applyBorder="1" applyAlignment="1">
      <alignment horizontal="center" vertical="center" wrapText="1" readingOrder="2"/>
    </xf>
    <xf numFmtId="0" fontId="15" fillId="6" borderId="12" xfId="0" applyFont="1" applyFill="1" applyBorder="1" applyAlignment="1">
      <alignment horizontal="center" vertical="center" wrapText="1" readingOrder="2"/>
    </xf>
    <xf numFmtId="0" fontId="15" fillId="4" borderId="27" xfId="0" applyFont="1" applyFill="1" applyBorder="1" applyAlignment="1">
      <alignment horizontal="center" vertical="center" wrapText="1" readingOrder="2"/>
    </xf>
    <xf numFmtId="0" fontId="15" fillId="4" borderId="28" xfId="0" applyFont="1" applyFill="1" applyBorder="1" applyAlignment="1">
      <alignment horizontal="center" vertical="center" wrapText="1" readingOrder="2"/>
    </xf>
    <xf numFmtId="0" fontId="15" fillId="4" borderId="15" xfId="0" applyFont="1" applyFill="1" applyBorder="1" applyAlignment="1">
      <alignment horizontal="center" vertical="center" wrapText="1" readingOrder="2"/>
    </xf>
    <xf numFmtId="0" fontId="15" fillId="4" borderId="12" xfId="0" applyFont="1" applyFill="1" applyBorder="1" applyAlignment="1">
      <alignment horizontal="center" vertical="center" wrapText="1" readingOrder="2"/>
    </xf>
    <xf numFmtId="0" fontId="16" fillId="7" borderId="8" xfId="0" applyFont="1" applyFill="1" applyBorder="1" applyAlignment="1">
      <alignment horizontal="center" vertical="center" wrapText="1" readingOrder="2"/>
    </xf>
    <xf numFmtId="0" fontId="16" fillId="7" borderId="14" xfId="0" applyFont="1" applyFill="1" applyBorder="1" applyAlignment="1">
      <alignment horizontal="center" vertical="center" wrapText="1" readingOrder="2"/>
    </xf>
    <xf numFmtId="2" fontId="16" fillId="7" borderId="20" xfId="0" applyNumberFormat="1" applyFont="1" applyFill="1" applyBorder="1" applyAlignment="1">
      <alignment horizontal="center" vertical="center" wrapText="1" readingOrder="2"/>
    </xf>
    <xf numFmtId="2" fontId="16" fillId="7" borderId="8" xfId="0" applyNumberFormat="1" applyFont="1" applyFill="1" applyBorder="1" applyAlignment="1">
      <alignment horizontal="center" vertical="center" wrapText="1" readingOrder="2"/>
    </xf>
    <xf numFmtId="0" fontId="0" fillId="0" borderId="0" xfId="0" applyAlignment="1">
      <alignment horizontal="right" vertical="top"/>
    </xf>
    <xf numFmtId="0" fontId="0" fillId="0" borderId="0" xfId="0" applyAlignment="1">
      <alignment horizontal="center"/>
    </xf>
    <xf numFmtId="0" fontId="1" fillId="0" borderId="0" xfId="0" applyFont="1" applyAlignment="1">
      <alignment vertical="top" wrapText="1"/>
    </xf>
    <xf numFmtId="0" fontId="1" fillId="0" borderId="0" xfId="0" applyFont="1" applyAlignment="1">
      <alignment horizontal="center" vertical="center" wrapText="1"/>
    </xf>
    <xf numFmtId="0" fontId="0" fillId="0" borderId="5" xfId="0" applyBorder="1"/>
    <xf numFmtId="0" fontId="21" fillId="7" borderId="5" xfId="0" applyFont="1" applyFill="1" applyBorder="1" applyAlignment="1">
      <alignment horizontal="center" vertical="center"/>
    </xf>
    <xf numFmtId="0" fontId="22" fillId="0" borderId="5" xfId="0" applyFont="1" applyBorder="1" applyAlignment="1">
      <alignment horizontal="center" vertical="center"/>
    </xf>
    <xf numFmtId="2" fontId="23" fillId="0" borderId="5" xfId="0" applyNumberFormat="1" applyFont="1" applyBorder="1" applyAlignment="1">
      <alignment horizontal="center" vertical="center"/>
    </xf>
    <xf numFmtId="0" fontId="2" fillId="2" borderId="5" xfId="0" applyNumberFormat="1" applyFont="1" applyFill="1" applyBorder="1" applyAlignment="1">
      <alignment horizontal="center" vertical="center" wrapText="1"/>
    </xf>
    <xf numFmtId="0" fontId="2" fillId="6" borderId="5" xfId="0" applyNumberFormat="1" applyFont="1" applyFill="1" applyBorder="1" applyAlignment="1">
      <alignment horizontal="center" vertical="center" wrapText="1"/>
    </xf>
    <xf numFmtId="0" fontId="0" fillId="0" borderId="5" xfId="0" applyNumberFormat="1" applyFont="1" applyFill="1" applyBorder="1" applyAlignment="1">
      <alignment horizontal="right" vertical="top" wrapText="1"/>
    </xf>
    <xf numFmtId="0" fontId="0" fillId="0" borderId="5" xfId="0" applyNumberFormat="1" applyFont="1" applyFill="1" applyBorder="1" applyAlignment="1">
      <alignment wrapText="1"/>
    </xf>
    <xf numFmtId="0" fontId="0" fillId="0" borderId="5" xfId="0" applyNumberFormat="1" applyFont="1" applyFill="1" applyBorder="1" applyAlignment="1">
      <alignment horizontal="center" wrapText="1"/>
    </xf>
    <xf numFmtId="2" fontId="0" fillId="0" borderId="5" xfId="0" applyNumberFormat="1" applyBorder="1" applyAlignment="1"/>
    <xf numFmtId="0" fontId="0" fillId="0" borderId="4" xfId="0" applyBorder="1" applyAlignment="1">
      <alignment horizontal="center" vertical="center"/>
    </xf>
    <xf numFmtId="0" fontId="0" fillId="0" borderId="27" xfId="0" applyBorder="1" applyAlignment="1">
      <alignment horizontal="center" vertical="center"/>
    </xf>
    <xf numFmtId="0" fontId="0" fillId="0" borderId="1" xfId="0" applyBorder="1" applyAlignment="1">
      <alignment horizontal="center" vertical="center"/>
    </xf>
    <xf numFmtId="0" fontId="0" fillId="4" borderId="26" xfId="0" applyFill="1" applyBorder="1" applyAlignment="1">
      <alignment horizontal="center" vertical="center"/>
    </xf>
    <xf numFmtId="0" fontId="0" fillId="4" borderId="21" xfId="0" applyFill="1" applyBorder="1" applyAlignment="1">
      <alignment horizontal="center" vertical="center"/>
    </xf>
    <xf numFmtId="0" fontId="25" fillId="0" borderId="5" xfId="0" applyFont="1" applyBorder="1"/>
    <xf numFmtId="0" fontId="1" fillId="8" borderId="37" xfId="0" applyFont="1" applyFill="1" applyBorder="1" applyAlignment="1">
      <alignment horizontal="right" vertical="top" wrapText="1"/>
    </xf>
    <xf numFmtId="0" fontId="0" fillId="12" borderId="0" xfId="0" applyFill="1" applyAlignment="1">
      <alignment vertical="top" wrapText="1"/>
    </xf>
    <xf numFmtId="0" fontId="1" fillId="9" borderId="37" xfId="0" applyFont="1" applyFill="1" applyBorder="1" applyAlignment="1">
      <alignment horizontal="center" vertical="top" wrapText="1"/>
    </xf>
    <xf numFmtId="0" fontId="1" fillId="10" borderId="37" xfId="0" applyFont="1" applyFill="1" applyBorder="1" applyAlignment="1">
      <alignment horizontal="center" vertical="top" wrapText="1"/>
    </xf>
    <xf numFmtId="0" fontId="19" fillId="11" borderId="37" xfId="0" applyFont="1" applyFill="1" applyBorder="1" applyAlignment="1">
      <alignment horizontal="right" vertical="top" wrapText="1"/>
    </xf>
    <xf numFmtId="0" fontId="1" fillId="8" borderId="5" xfId="0" applyFont="1" applyFill="1" applyBorder="1" applyAlignment="1">
      <alignment horizontal="right" vertical="top" wrapText="1"/>
    </xf>
    <xf numFmtId="0" fontId="1" fillId="11" borderId="5" xfId="0" applyFont="1" applyFill="1" applyBorder="1" applyAlignment="1">
      <alignment horizontal="right" vertical="top" wrapText="1"/>
    </xf>
    <xf numFmtId="0" fontId="20" fillId="14" borderId="5" xfId="0" applyFont="1" applyFill="1" applyBorder="1" applyAlignment="1">
      <alignment horizontal="right" vertical="top" wrapText="1"/>
    </xf>
    <xf numFmtId="0" fontId="0" fillId="13" borderId="5" xfId="0" applyFill="1" applyBorder="1"/>
    <xf numFmtId="0" fontId="1" fillId="14" borderId="5" xfId="0" applyFont="1" applyFill="1" applyBorder="1" applyAlignment="1">
      <alignment horizontal="center" vertical="center" wrapText="1"/>
    </xf>
    <xf numFmtId="0" fontId="1" fillId="14" borderId="5" xfId="0" applyFont="1" applyFill="1" applyBorder="1" applyAlignment="1">
      <alignment vertical="top" wrapText="1"/>
    </xf>
    <xf numFmtId="0" fontId="1" fillId="10" borderId="5" xfId="0" applyFont="1" applyFill="1" applyBorder="1" applyAlignment="1">
      <alignment horizontal="center" vertical="top" wrapText="1"/>
    </xf>
    <xf numFmtId="0" fontId="1" fillId="9" borderId="5" xfId="0" applyFont="1" applyFill="1" applyBorder="1" applyAlignment="1">
      <alignment horizontal="center" vertical="top" wrapText="1"/>
    </xf>
    <xf numFmtId="0" fontId="2" fillId="2" borderId="38" xfId="0" applyNumberFormat="1" applyFont="1" applyFill="1" applyBorder="1" applyAlignment="1">
      <alignment horizontal="center" vertical="center" wrapText="1"/>
    </xf>
    <xf numFmtId="0" fontId="0" fillId="0" borderId="38" xfId="0" applyNumberFormat="1" applyFont="1" applyFill="1" applyBorder="1" applyAlignment="1">
      <alignment horizontal="right" vertical="top" wrapText="1"/>
    </xf>
    <xf numFmtId="0" fontId="0" fillId="0" borderId="38" xfId="0" applyBorder="1"/>
    <xf numFmtId="0" fontId="2" fillId="2" borderId="39" xfId="0" applyNumberFormat="1" applyFont="1" applyFill="1" applyBorder="1" applyAlignment="1">
      <alignment horizontal="center" vertical="center" wrapText="1"/>
    </xf>
    <xf numFmtId="0" fontId="0" fillId="0" borderId="0" xfId="0" applyBorder="1"/>
    <xf numFmtId="0" fontId="0" fillId="0" borderId="8" xfId="0" applyBorder="1" applyAlignment="1">
      <alignment vertical="top"/>
    </xf>
    <xf numFmtId="0" fontId="0" fillId="0" borderId="40" xfId="0" applyBorder="1" applyAlignment="1">
      <alignment vertical="top" wrapText="1"/>
    </xf>
    <xf numFmtId="0" fontId="0" fillId="0" borderId="40" xfId="0" applyBorder="1" applyAlignment="1">
      <alignment wrapText="1"/>
    </xf>
    <xf numFmtId="0" fontId="0" fillId="0" borderId="5" xfId="0" applyBorder="1" applyAlignment="1">
      <alignment vertical="top"/>
    </xf>
    <xf numFmtId="0" fontId="0" fillId="0" borderId="5" xfId="0" applyBorder="1" applyAlignment="1">
      <alignment vertical="top" wrapText="1"/>
    </xf>
    <xf numFmtId="0" fontId="0" fillId="0" borderId="5" xfId="0" applyBorder="1" applyAlignment="1">
      <alignment vertical="center"/>
    </xf>
    <xf numFmtId="0" fontId="0" fillId="0" borderId="5" xfId="0" applyBorder="1" applyAlignment="1">
      <alignment vertical="center" wrapText="1"/>
    </xf>
    <xf numFmtId="0" fontId="0" fillId="0" borderId="0" xfId="0"/>
    <xf numFmtId="0" fontId="30" fillId="15" borderId="41" xfId="0" applyFont="1" applyFill="1" applyBorder="1" applyAlignment="1">
      <alignment horizontal="center" vertical="center" wrapText="1"/>
    </xf>
    <xf numFmtId="0" fontId="31" fillId="0" borderId="41" xfId="0" applyFont="1" applyBorder="1" applyAlignment="1">
      <alignment horizontal="right" vertical="top" wrapText="1"/>
    </xf>
    <xf numFmtId="0" fontId="31" fillId="16" borderId="41" xfId="0" applyFont="1" applyFill="1" applyBorder="1" applyAlignment="1">
      <alignment horizontal="right" vertical="top" wrapText="1"/>
    </xf>
    <xf numFmtId="2" fontId="2" fillId="2" borderId="5" xfId="0" applyNumberFormat="1" applyFont="1" applyFill="1" applyBorder="1" applyAlignment="1">
      <alignment horizontal="center" vertical="center" wrapText="1"/>
    </xf>
    <xf numFmtId="2" fontId="0" fillId="0" borderId="5" xfId="0" applyNumberFormat="1" applyBorder="1"/>
    <xf numFmtId="2" fontId="0" fillId="0" borderId="39" xfId="0" applyNumberFormat="1" applyBorder="1"/>
    <xf numFmtId="2" fontId="12" fillId="0" borderId="5" xfId="0" applyNumberFormat="1" applyFont="1" applyFill="1" applyBorder="1" applyAlignment="1">
      <alignment horizontal="center" vertical="center"/>
    </xf>
    <xf numFmtId="2" fontId="12" fillId="0" borderId="4" xfId="0" applyNumberFormat="1" applyFont="1" applyBorder="1" applyAlignment="1">
      <alignment horizontal="center" vertical="center"/>
    </xf>
    <xf numFmtId="2" fontId="12" fillId="0" borderId="5" xfId="0" applyNumberFormat="1" applyFont="1" applyBorder="1" applyAlignment="1">
      <alignment horizontal="center" vertical="center"/>
    </xf>
    <xf numFmtId="2" fontId="12" fillId="0" borderId="6" xfId="0" applyNumberFormat="1" applyFont="1" applyBorder="1" applyAlignment="1">
      <alignment horizontal="center" vertical="center"/>
    </xf>
    <xf numFmtId="2" fontId="12" fillId="0" borderId="3" xfId="0" applyNumberFormat="1" applyFont="1" applyBorder="1" applyAlignment="1">
      <alignment horizontal="center" vertical="center"/>
    </xf>
    <xf numFmtId="0" fontId="2" fillId="2" borderId="5" xfId="0" applyNumberFormat="1" applyFont="1" applyFill="1" applyBorder="1" applyAlignment="1">
      <alignment horizontal="right" vertical="center" wrapText="1"/>
    </xf>
    <xf numFmtId="0" fontId="32" fillId="17" borderId="5" xfId="0" applyFont="1" applyFill="1" applyBorder="1"/>
    <xf numFmtId="0" fontId="32" fillId="17" borderId="5" xfId="0" applyNumberFormat="1" applyFont="1" applyFill="1" applyBorder="1" applyAlignment="1">
      <alignment horizontal="center" wrapText="1"/>
    </xf>
    <xf numFmtId="2" fontId="32" fillId="17" borderId="5" xfId="0" applyNumberFormat="1" applyFont="1" applyFill="1" applyBorder="1"/>
    <xf numFmtId="0" fontId="34" fillId="17" borderId="0" xfId="0" applyFont="1" applyFill="1" applyAlignment="1">
      <alignment horizontal="center" vertical="center" wrapText="1"/>
    </xf>
    <xf numFmtId="0" fontId="34" fillId="17" borderId="25" xfId="0" applyFont="1" applyFill="1" applyBorder="1" applyAlignment="1">
      <alignment horizontal="center" vertical="center" wrapText="1"/>
    </xf>
    <xf numFmtId="0" fontId="34" fillId="17" borderId="14" xfId="0" applyFont="1" applyFill="1" applyBorder="1" applyAlignment="1">
      <alignment horizontal="center" vertical="center" wrapText="1"/>
    </xf>
    <xf numFmtId="0" fontId="35" fillId="17" borderId="0" xfId="0" applyFont="1" applyFill="1" applyAlignment="1">
      <alignment horizontal="center" vertical="center" wrapText="1"/>
    </xf>
    <xf numFmtId="0" fontId="35" fillId="17" borderId="23" xfId="0" applyFont="1" applyFill="1" applyBorder="1" applyAlignment="1">
      <alignment horizontal="center" vertical="center" wrapText="1"/>
    </xf>
    <xf numFmtId="0" fontId="35" fillId="17" borderId="14" xfId="0" applyFont="1" applyFill="1" applyBorder="1" applyAlignment="1">
      <alignment horizontal="center" vertical="center" wrapText="1"/>
    </xf>
    <xf numFmtId="0" fontId="36" fillId="17" borderId="29" xfId="0" applyFont="1" applyFill="1" applyBorder="1" applyAlignment="1">
      <alignment vertical="top" wrapText="1"/>
    </xf>
    <xf numFmtId="0" fontId="36" fillId="17" borderId="30" xfId="0" applyFont="1" applyFill="1" applyBorder="1" applyAlignment="1">
      <alignment horizontal="center" vertical="center"/>
    </xf>
    <xf numFmtId="0" fontId="36" fillId="17" borderId="31" xfId="0" applyFont="1" applyFill="1" applyBorder="1" applyAlignment="1">
      <alignment horizontal="center" vertical="center"/>
    </xf>
    <xf numFmtId="0" fontId="36" fillId="17" borderId="32" xfId="0" applyFont="1" applyFill="1" applyBorder="1" applyAlignment="1">
      <alignment vertical="top"/>
    </xf>
    <xf numFmtId="0" fontId="36" fillId="18" borderId="5" xfId="0" applyFont="1" applyFill="1" applyBorder="1" applyAlignment="1">
      <alignment horizontal="right" vertical="top" wrapText="1"/>
    </xf>
    <xf numFmtId="0" fontId="37" fillId="17" borderId="5" xfId="0" applyFont="1" applyFill="1" applyBorder="1"/>
    <xf numFmtId="0" fontId="36" fillId="19" borderId="5" xfId="0" applyFont="1" applyFill="1" applyBorder="1" applyAlignment="1">
      <alignment horizontal="center" vertical="center" wrapText="1"/>
    </xf>
    <xf numFmtId="0" fontId="36" fillId="20" borderId="5" xfId="0" applyFont="1" applyFill="1" applyBorder="1" applyAlignment="1">
      <alignment horizontal="center" vertical="center" wrapText="1"/>
    </xf>
    <xf numFmtId="0" fontId="36" fillId="21" borderId="5" xfId="0" applyFont="1" applyFill="1" applyBorder="1" applyAlignment="1">
      <alignment horizontal="right" vertical="top" wrapText="1"/>
    </xf>
    <xf numFmtId="0" fontId="38" fillId="22" borderId="5" xfId="0" applyFont="1" applyFill="1" applyBorder="1" applyAlignment="1">
      <alignment horizontal="right"/>
    </xf>
    <xf numFmtId="0" fontId="38" fillId="22" borderId="5" xfId="0" applyFont="1" applyFill="1" applyBorder="1" applyAlignment="1">
      <alignment horizontal="center" vertical="center"/>
    </xf>
    <xf numFmtId="0" fontId="4" fillId="12" borderId="5" xfId="0" applyFont="1" applyFill="1" applyBorder="1" applyAlignment="1">
      <alignment horizontal="center" vertical="center"/>
    </xf>
    <xf numFmtId="0" fontId="4" fillId="12" borderId="34" xfId="0" applyFont="1" applyFill="1" applyBorder="1" applyAlignment="1">
      <alignment horizontal="center" vertical="center"/>
    </xf>
    <xf numFmtId="0" fontId="18" fillId="12" borderId="32" xfId="0" applyFont="1" applyFill="1" applyBorder="1" applyAlignment="1">
      <alignment vertical="top"/>
    </xf>
    <xf numFmtId="0" fontId="1" fillId="12" borderId="0" xfId="0" applyFont="1" applyFill="1" applyAlignment="1">
      <alignment vertical="top" wrapText="1"/>
    </xf>
    <xf numFmtId="2" fontId="0" fillId="0" borderId="0" xfId="0" applyNumberFormat="1"/>
    <xf numFmtId="0" fontId="39" fillId="12" borderId="33" xfId="0" applyFont="1" applyFill="1" applyBorder="1" applyAlignment="1">
      <alignment horizontal="right" vertical="top" wrapText="1"/>
    </xf>
    <xf numFmtId="0" fontId="39" fillId="12" borderId="36" xfId="0" applyFont="1" applyFill="1" applyBorder="1" applyAlignment="1">
      <alignment horizontal="right" vertical="top" wrapText="1"/>
    </xf>
    <xf numFmtId="0" fontId="0" fillId="24" borderId="5" xfId="0" applyNumberFormat="1" applyFont="1" applyFill="1" applyBorder="1" applyAlignment="1">
      <alignment wrapText="1"/>
    </xf>
    <xf numFmtId="0" fontId="0" fillId="24" borderId="5" xfId="0" applyNumberFormat="1" applyFont="1" applyFill="1" applyBorder="1" applyAlignment="1">
      <alignment horizontal="center" wrapText="1"/>
    </xf>
    <xf numFmtId="0" fontId="0" fillId="0" borderId="0" xfId="0" applyNumberFormat="1" applyFont="1" applyFill="1" applyBorder="1" applyAlignment="1">
      <alignment horizontal="right" wrapText="1"/>
    </xf>
    <xf numFmtId="0" fontId="0" fillId="0" borderId="0" xfId="0" applyAlignment="1">
      <alignment horizontal="center"/>
    </xf>
    <xf numFmtId="0" fontId="0" fillId="0" borderId="27" xfId="0" applyBorder="1" applyAlignment="1">
      <alignment horizontal="center"/>
    </xf>
    <xf numFmtId="0" fontId="0" fillId="6" borderId="0" xfId="0" applyFill="1" applyAlignment="1">
      <alignment horizontal="center"/>
    </xf>
    <xf numFmtId="0" fontId="0" fillId="6" borderId="27" xfId="0" applyFill="1" applyBorder="1" applyAlignment="1">
      <alignment horizontal="center"/>
    </xf>
    <xf numFmtId="0" fontId="28" fillId="2" borderId="0" xfId="0" applyFont="1" applyFill="1" applyAlignment="1">
      <alignment horizontal="center" vertical="center"/>
    </xf>
    <xf numFmtId="0" fontId="0" fillId="0" borderId="0" xfId="0"/>
    <xf numFmtId="0" fontId="29" fillId="0" borderId="0" xfId="0" applyFont="1" applyAlignment="1">
      <alignment vertical="center" wrapText="1"/>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2" xfId="0" applyFont="1" applyBorder="1" applyAlignment="1">
      <alignment horizontal="center" vertical="center"/>
    </xf>
    <xf numFmtId="2" fontId="13" fillId="0" borderId="20" xfId="0" applyNumberFormat="1" applyFont="1" applyBorder="1" applyAlignment="1">
      <alignment horizontal="center"/>
    </xf>
    <xf numFmtId="2" fontId="13" fillId="0" borderId="1" xfId="0" applyNumberFormat="1" applyFont="1" applyBorder="1" applyAlignment="1">
      <alignment horizontal="center"/>
    </xf>
    <xf numFmtId="2" fontId="13" fillId="0" borderId="21" xfId="0" applyNumberFormat="1" applyFont="1" applyBorder="1" applyAlignment="1">
      <alignment horizontal="center"/>
    </xf>
    <xf numFmtId="2" fontId="13" fillId="0" borderId="17" xfId="0" applyNumberFormat="1" applyFont="1" applyBorder="1" applyAlignment="1">
      <alignment horizontal="center"/>
    </xf>
    <xf numFmtId="0" fontId="13" fillId="0" borderId="20" xfId="0" applyFont="1" applyBorder="1" applyAlignment="1">
      <alignment horizontal="center"/>
    </xf>
    <xf numFmtId="0" fontId="13" fillId="0" borderId="21" xfId="0" applyFont="1" applyBorder="1" applyAlignment="1">
      <alignment horizontal="center"/>
    </xf>
    <xf numFmtId="0" fontId="13" fillId="0" borderId="17" xfId="0" applyFont="1" applyBorder="1" applyAlignment="1">
      <alignment horizontal="center"/>
    </xf>
    <xf numFmtId="0" fontId="8" fillId="0" borderId="14" xfId="0" applyFont="1" applyBorder="1" applyAlignment="1">
      <alignment horizontal="right" vertical="center"/>
    </xf>
    <xf numFmtId="0" fontId="8" fillId="0" borderId="7" xfId="0" applyFont="1" applyBorder="1" applyAlignment="1">
      <alignment horizontal="right" vertical="center"/>
    </xf>
    <xf numFmtId="0" fontId="8" fillId="0" borderId="2" xfId="0" applyFont="1" applyBorder="1" applyAlignment="1">
      <alignment horizontal="right" vertical="center"/>
    </xf>
    <xf numFmtId="0" fontId="8" fillId="4" borderId="2" xfId="0" applyFont="1" applyFill="1" applyBorder="1" applyAlignment="1">
      <alignment horizontal="right" vertical="center"/>
    </xf>
    <xf numFmtId="0" fontId="8" fillId="4" borderId="7" xfId="0" applyFont="1" applyFill="1" applyBorder="1" applyAlignment="1">
      <alignment horizontal="right" vertical="center"/>
    </xf>
    <xf numFmtId="0" fontId="5" fillId="0" borderId="1" xfId="0" applyFont="1" applyBorder="1" applyAlignment="1">
      <alignment horizontal="center" vertical="center"/>
    </xf>
    <xf numFmtId="0" fontId="5" fillId="0" borderId="0" xfId="0" applyFont="1" applyAlignment="1">
      <alignment horizontal="center" vertical="center"/>
    </xf>
    <xf numFmtId="0" fontId="0" fillId="4" borderId="2" xfId="0" applyFill="1" applyBorder="1" applyAlignment="1">
      <alignment horizontal="center"/>
    </xf>
    <xf numFmtId="0" fontId="0" fillId="4" borderId="7" xfId="0" applyFill="1" applyBorder="1" applyAlignment="1">
      <alignment horizontal="center"/>
    </xf>
    <xf numFmtId="0" fontId="14" fillId="0" borderId="1" xfId="0" applyFont="1" applyBorder="1" applyAlignment="1">
      <alignment horizontal="center" vertical="center"/>
    </xf>
    <xf numFmtId="2" fontId="14" fillId="0" borderId="21" xfId="0" applyNumberFormat="1" applyFont="1" applyBorder="1" applyAlignment="1">
      <alignment horizontal="center" vertical="center"/>
    </xf>
    <xf numFmtId="0" fontId="14" fillId="0" borderId="21" xfId="0" applyFont="1" applyBorder="1" applyAlignment="1">
      <alignment horizontal="center" vertical="center"/>
    </xf>
    <xf numFmtId="0" fontId="33" fillId="17" borderId="2" xfId="0" applyFont="1" applyFill="1" applyBorder="1" applyAlignment="1">
      <alignment horizontal="center" vertical="center"/>
    </xf>
    <xf numFmtId="0" fontId="33" fillId="17" borderId="14" xfId="0" applyFont="1" applyFill="1" applyBorder="1" applyAlignment="1">
      <alignment horizontal="center" vertical="center"/>
    </xf>
    <xf numFmtId="0" fontId="33" fillId="17" borderId="7" xfId="0" applyFont="1" applyFill="1" applyBorder="1" applyAlignment="1">
      <alignment horizontal="center" vertical="center"/>
    </xf>
    <xf numFmtId="0" fontId="33" fillId="17" borderId="24" xfId="0" applyFont="1" applyFill="1" applyBorder="1" applyAlignment="1">
      <alignment horizontal="center" vertical="center"/>
    </xf>
    <xf numFmtId="0" fontId="33" fillId="17" borderId="4" xfId="0" applyFont="1" applyFill="1" applyBorder="1" applyAlignment="1">
      <alignment horizontal="center" vertical="center"/>
    </xf>
    <xf numFmtId="0" fontId="33" fillId="17" borderId="6" xfId="0" applyFont="1" applyFill="1" applyBorder="1" applyAlignment="1">
      <alignment horizontal="center" vertical="center"/>
    </xf>
    <xf numFmtId="0" fontId="34" fillId="17" borderId="19" xfId="0" applyFont="1" applyFill="1" applyBorder="1" applyAlignment="1">
      <alignment horizontal="right" vertical="top" wrapText="1" readingOrder="2"/>
    </xf>
    <xf numFmtId="0" fontId="34" fillId="17" borderId="18" xfId="0" applyFont="1" applyFill="1" applyBorder="1" applyAlignment="1">
      <alignment horizontal="right" vertical="top" wrapText="1" readingOrder="2"/>
    </xf>
    <xf numFmtId="0" fontId="34" fillId="17" borderId="22" xfId="0" applyFont="1" applyFill="1" applyBorder="1" applyAlignment="1">
      <alignment horizontal="right" vertical="top" wrapText="1" readingOrder="2"/>
    </xf>
    <xf numFmtId="0" fontId="16" fillId="7" borderId="20" xfId="0" applyFont="1" applyFill="1" applyBorder="1" applyAlignment="1">
      <alignment horizontal="center" vertical="center"/>
    </xf>
    <xf numFmtId="0" fontId="16" fillId="7" borderId="21" xfId="0" applyFont="1" applyFill="1" applyBorder="1" applyAlignment="1">
      <alignment horizontal="center" vertical="center"/>
    </xf>
    <xf numFmtId="0" fontId="16" fillId="7" borderId="13" xfId="0" applyFont="1" applyFill="1" applyBorder="1" applyAlignment="1">
      <alignment horizontal="center" vertical="center"/>
    </xf>
    <xf numFmtId="0" fontId="16" fillId="7" borderId="17" xfId="0" applyFont="1" applyFill="1" applyBorder="1" applyAlignment="1">
      <alignment horizontal="center" vertical="center"/>
    </xf>
    <xf numFmtId="2" fontId="17" fillId="7" borderId="20" xfId="0" applyNumberFormat="1" applyFont="1" applyFill="1" applyBorder="1" applyAlignment="1">
      <alignment horizontal="center" vertical="center" wrapText="1" readingOrder="2"/>
    </xf>
    <xf numFmtId="2" fontId="17" fillId="7" borderId="21" xfId="0" applyNumberFormat="1" applyFont="1" applyFill="1" applyBorder="1" applyAlignment="1">
      <alignment horizontal="center" vertical="center" wrapText="1" readingOrder="2"/>
    </xf>
    <xf numFmtId="2" fontId="17" fillId="7" borderId="17" xfId="0" applyNumberFormat="1" applyFont="1" applyFill="1" applyBorder="1" applyAlignment="1">
      <alignment horizontal="center" vertical="center" wrapText="1" readingOrder="2"/>
    </xf>
    <xf numFmtId="0" fontId="34" fillId="17" borderId="19" xfId="0" applyFont="1" applyFill="1" applyBorder="1" applyAlignment="1">
      <alignment vertical="top" wrapText="1" readingOrder="2"/>
    </xf>
    <xf numFmtId="0" fontId="34" fillId="17" borderId="18" xfId="0" applyFont="1" applyFill="1" applyBorder="1" applyAlignment="1">
      <alignment vertical="top" wrapText="1" readingOrder="2"/>
    </xf>
    <xf numFmtId="0" fontId="26" fillId="23" borderId="32" xfId="0" applyFont="1" applyFill="1" applyBorder="1" applyAlignment="1">
      <alignment horizontal="center" vertical="top" wrapText="1" readingOrder="2"/>
    </xf>
    <xf numFmtId="0" fontId="26" fillId="23" borderId="35" xfId="0" applyFont="1" applyFill="1" applyBorder="1" applyAlignment="1">
      <alignment horizontal="center" vertical="top" wrapText="1" readingOrder="2"/>
    </xf>
    <xf numFmtId="2" fontId="24" fillId="7" borderId="5" xfId="0" applyNumberFormat="1" applyFont="1" applyFill="1" applyBorder="1" applyAlignment="1">
      <alignment horizontal="center"/>
    </xf>
    <xf numFmtId="0" fontId="40" fillId="0" borderId="5" xfId="0" applyFont="1" applyBorder="1" applyAlignment="1">
      <alignment vertical="center"/>
    </xf>
    <xf numFmtId="0" fontId="40" fillId="0" borderId="5" xfId="0" applyFont="1" applyBorder="1" applyAlignment="1">
      <alignment vertical="center" wrapText="1"/>
    </xf>
    <xf numFmtId="0" fontId="0" fillId="0" borderId="39" xfId="0" applyNumberFormat="1" applyFont="1" applyFill="1" applyBorder="1" applyAlignment="1" applyProtection="1">
      <alignment horizontal="center" vertical="top" wrapText="1"/>
      <protection locked="0"/>
    </xf>
    <xf numFmtId="0" fontId="0" fillId="0" borderId="5" xfId="0" applyNumberFormat="1" applyFont="1" applyFill="1" applyBorder="1" applyAlignment="1" applyProtection="1">
      <alignment horizontal="center" vertical="top" wrapText="1"/>
      <protection locked="0"/>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JO"/>
              <a:t>تقييم اداء مراكز</a:t>
            </a:r>
            <a:r>
              <a:rPr lang="ar-JO" baseline="0"/>
              <a:t> تعليم الكبار وفق مؤشرات الأداة الرئيسية </a:t>
            </a:r>
            <a:r>
              <a:rPr lang="ar-JO"/>
              <a:t>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النتائج!$E$5</c:f>
              <c:strCache>
                <c:ptCount val="1"/>
                <c:pt idx="0">
                  <c:v>العلامة من 100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النتائج!$A$6:$A$14</c:f>
              <c:strCache>
                <c:ptCount val="9"/>
                <c:pt idx="0">
                  <c:v>الترويج والخبرة في تعلم الكبار</c:v>
                </c:pt>
                <c:pt idx="1">
                  <c:v>برامج تعلم وتعليم الكبار</c:v>
                </c:pt>
                <c:pt idx="2">
                  <c:v>البحث المجتمعي والتواصل</c:v>
                </c:pt>
                <c:pt idx="3">
                  <c:v>التواصل والمناصرة</c:v>
                </c:pt>
                <c:pt idx="4">
                  <c:v>الموارد البشرية</c:v>
                </c:pt>
                <c:pt idx="5">
                  <c:v>جمع التمويل وكتابة المشاريع</c:v>
                </c:pt>
                <c:pt idx="6">
                  <c:v>البنية التحتية والمعدات والتكنو</c:v>
                </c:pt>
                <c:pt idx="7">
                  <c:v>الإدارة المالية</c:v>
                </c:pt>
                <c:pt idx="8">
                  <c:v>الإدارة والحوكمة</c:v>
                </c:pt>
              </c:strCache>
            </c:strRef>
          </c:cat>
          <c:val>
            <c:numRef>
              <c:f>النتائج!$E$6:$E$14</c:f>
              <c:numCache>
                <c:formatCode>0.00</c:formatCode>
                <c:ptCount val="9"/>
                <c:pt idx="0">
                  <c:v>20</c:v>
                </c:pt>
                <c:pt idx="1">
                  <c:v>20</c:v>
                </c:pt>
                <c:pt idx="2">
                  <c:v>20</c:v>
                </c:pt>
                <c:pt idx="3">
                  <c:v>20</c:v>
                </c:pt>
                <c:pt idx="4">
                  <c:v>20</c:v>
                </c:pt>
                <c:pt idx="5">
                  <c:v>20</c:v>
                </c:pt>
                <c:pt idx="6">
                  <c:v>20</c:v>
                </c:pt>
                <c:pt idx="7">
                  <c:v>20</c:v>
                </c:pt>
                <c:pt idx="8">
                  <c:v>20</c:v>
                </c:pt>
              </c:numCache>
            </c:numRef>
          </c:val>
          <c:extLst>
            <c:ext xmlns:c16="http://schemas.microsoft.com/office/drawing/2014/chart" uri="{C3380CC4-5D6E-409C-BE32-E72D297353CC}">
              <c16:uniqueId val="{00000000-632A-4285-9B60-48878D54B218}"/>
            </c:ext>
          </c:extLst>
        </c:ser>
        <c:dLbls>
          <c:dLblPos val="outEnd"/>
          <c:showLegendKey val="0"/>
          <c:showVal val="1"/>
          <c:showCatName val="0"/>
          <c:showSerName val="0"/>
          <c:showPercent val="0"/>
          <c:showBubbleSize val="0"/>
        </c:dLbls>
        <c:gapWidth val="219"/>
        <c:overlap val="-27"/>
        <c:axId val="533371040"/>
        <c:axId val="533371368"/>
      </c:barChart>
      <c:catAx>
        <c:axId val="53337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371368"/>
        <c:crosses val="autoZero"/>
        <c:auto val="1"/>
        <c:lblAlgn val="ctr"/>
        <c:lblOffset val="100"/>
        <c:noMultiLvlLbl val="0"/>
      </c:catAx>
      <c:valAx>
        <c:axId val="533371368"/>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371040"/>
        <c:crosses val="autoZero"/>
        <c:crossBetween val="between"/>
      </c:valAx>
      <c:spPr>
        <a:noFill/>
        <a:ln>
          <a:noFill/>
        </a:ln>
        <a:effectLst/>
      </c:spPr>
    </c:plotArea>
    <c:plotVisOnly val="1"/>
    <c:dispBlanksAs val="gap"/>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0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3997594050743654E-2"/>
          <c:y val="0.19486111111111112"/>
          <c:w val="0.89655796150481193"/>
          <c:h val="0.72088764946048411"/>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'ملخص التقييم ودليل المستويات'!$F$8</c:f>
              <c:strCache>
                <c:ptCount val="1"/>
                <c:pt idx="0">
                  <c:v>ناشئ</c:v>
                </c:pt>
              </c:strCache>
            </c:strRef>
          </c:cat>
          <c:val>
            <c:numRef>
              <c:f>'ملخص التقييم ودليل المستويات'!$G$8</c:f>
              <c:numCache>
                <c:formatCode>General</c:formatCode>
                <c:ptCount val="1"/>
                <c:pt idx="0">
                  <c:v>1</c:v>
                </c:pt>
              </c:numCache>
            </c:numRef>
          </c:val>
          <c:extLst>
            <c:ext xmlns:c16="http://schemas.microsoft.com/office/drawing/2014/chart" uri="{C3380CC4-5D6E-409C-BE32-E72D297353CC}">
              <c16:uniqueId val="{00000000-1813-4672-A1E3-DAE721479AD4}"/>
            </c:ext>
          </c:extLst>
        </c:ser>
        <c:dLbls>
          <c:dLblPos val="outEnd"/>
          <c:showLegendKey val="0"/>
          <c:showVal val="1"/>
          <c:showCatName val="0"/>
          <c:showSerName val="0"/>
          <c:showPercent val="0"/>
          <c:showBubbleSize val="0"/>
        </c:dLbls>
        <c:gapWidth val="219"/>
        <c:overlap val="-27"/>
        <c:axId val="355396664"/>
        <c:axId val="355398632"/>
      </c:barChart>
      <c:catAx>
        <c:axId val="355396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5398632"/>
        <c:crosses val="autoZero"/>
        <c:auto val="1"/>
        <c:lblAlgn val="ctr"/>
        <c:lblOffset val="100"/>
        <c:noMultiLvlLbl val="0"/>
      </c:catAx>
      <c:valAx>
        <c:axId val="355398632"/>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5396664"/>
        <c:crosses val="autoZero"/>
        <c:crossBetween val="between"/>
        <c:majorUnit val="1"/>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900" b="1"/>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r">
              <a:defRPr sz="1600" b="1" i="0" u="none" strike="noStrike" kern="1200" spc="0" baseline="0">
                <a:solidFill>
                  <a:schemeClr val="tx1">
                    <a:lumMod val="65000"/>
                    <a:lumOff val="35000"/>
                  </a:schemeClr>
                </a:solidFill>
                <a:latin typeface="+mn-lt"/>
                <a:ea typeface="+mn-ea"/>
                <a:cs typeface="+mn-cs"/>
              </a:defRPr>
            </a:pPr>
            <a:r>
              <a:rPr lang="ar-JO" sz="1600" b="1"/>
              <a:t>تقييم اداء مراكز</a:t>
            </a:r>
            <a:r>
              <a:rPr lang="ar-JO" sz="1600" b="1" baseline="0"/>
              <a:t> تعليم الكبار وفق مؤشرات الأداة الرئيسية </a:t>
            </a:r>
            <a:r>
              <a:rPr lang="ar-JO" sz="1600" b="1"/>
              <a:t> </a:t>
            </a:r>
          </a:p>
        </c:rich>
      </c:tx>
      <c:layout>
        <c:manualLayout>
          <c:xMode val="edge"/>
          <c:yMode val="edge"/>
          <c:x val="0.31113856433330683"/>
          <c:y val="2.5740240153722432E-2"/>
        </c:manualLayout>
      </c:layout>
      <c:overlay val="0"/>
      <c:spPr>
        <a:noFill/>
        <a:ln>
          <a:noFill/>
        </a:ln>
        <a:effectLst/>
      </c:spPr>
      <c:txPr>
        <a:bodyPr rot="0" spcFirstLastPara="1" vertOverflow="ellipsis" vert="horz" wrap="square" anchor="ctr" anchorCtr="1"/>
        <a:lstStyle/>
        <a:p>
          <a:pPr algn="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النتائج!$E$5</c:f>
              <c:strCache>
                <c:ptCount val="1"/>
                <c:pt idx="0">
                  <c:v>العلامة من 100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النتائج!$A$6:$A$14</c:f>
              <c:strCache>
                <c:ptCount val="9"/>
                <c:pt idx="0">
                  <c:v>الترويج والخبرة في تعلم الكبار</c:v>
                </c:pt>
                <c:pt idx="1">
                  <c:v>برامج تعلم وتعليم الكبار</c:v>
                </c:pt>
                <c:pt idx="2">
                  <c:v>البحث المجتمعي والتواصل</c:v>
                </c:pt>
                <c:pt idx="3">
                  <c:v>التواصل والمناصرة</c:v>
                </c:pt>
                <c:pt idx="4">
                  <c:v>الموارد البشرية</c:v>
                </c:pt>
                <c:pt idx="5">
                  <c:v>جمع التمويل وكتابة المشاريع</c:v>
                </c:pt>
                <c:pt idx="6">
                  <c:v>البنية التحتية والمعدات والتكنو</c:v>
                </c:pt>
                <c:pt idx="7">
                  <c:v>الإدارة المالية</c:v>
                </c:pt>
                <c:pt idx="8">
                  <c:v>الإدارة والحوكمة</c:v>
                </c:pt>
              </c:strCache>
            </c:strRef>
          </c:cat>
          <c:val>
            <c:numRef>
              <c:f>النتائج!$E$6:$E$14</c:f>
              <c:numCache>
                <c:formatCode>0.00</c:formatCode>
                <c:ptCount val="9"/>
                <c:pt idx="0">
                  <c:v>20</c:v>
                </c:pt>
                <c:pt idx="1">
                  <c:v>20</c:v>
                </c:pt>
                <c:pt idx="2">
                  <c:v>20</c:v>
                </c:pt>
                <c:pt idx="3">
                  <c:v>20</c:v>
                </c:pt>
                <c:pt idx="4">
                  <c:v>20</c:v>
                </c:pt>
                <c:pt idx="5">
                  <c:v>20</c:v>
                </c:pt>
                <c:pt idx="6">
                  <c:v>20</c:v>
                </c:pt>
                <c:pt idx="7">
                  <c:v>20</c:v>
                </c:pt>
                <c:pt idx="8">
                  <c:v>20</c:v>
                </c:pt>
              </c:numCache>
            </c:numRef>
          </c:val>
          <c:smooth val="0"/>
          <c:extLst>
            <c:ext xmlns:c16="http://schemas.microsoft.com/office/drawing/2014/chart" uri="{C3380CC4-5D6E-409C-BE32-E72D297353CC}">
              <c16:uniqueId val="{00000000-4429-4D20-AB9D-BF5530D060B3}"/>
            </c:ext>
          </c:extLst>
        </c:ser>
        <c:dLbls>
          <c:showLegendKey val="0"/>
          <c:showVal val="1"/>
          <c:showCatName val="0"/>
          <c:showSerName val="0"/>
          <c:showPercent val="0"/>
          <c:showBubbleSize val="0"/>
        </c:dLbls>
        <c:marker val="1"/>
        <c:smooth val="0"/>
        <c:axId val="533371040"/>
        <c:axId val="533371368"/>
      </c:lineChart>
      <c:catAx>
        <c:axId val="533371040"/>
        <c:scaling>
          <c:orientation val="minMax"/>
        </c:scaling>
        <c:delete val="0"/>
        <c:axPos val="b"/>
        <c:numFmt formatCode="General" sourceLinked="1"/>
        <c:majorTickMark val="none"/>
        <c:minorTickMark val="none"/>
        <c:tickLblPos val="nextTo"/>
        <c:spPr>
          <a:solidFill>
            <a:schemeClr val="accent2">
              <a:lumMod val="20000"/>
              <a:lumOff val="8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33371368"/>
        <c:crosses val="autoZero"/>
        <c:auto val="1"/>
        <c:lblAlgn val="ctr"/>
        <c:lblOffset val="100"/>
        <c:noMultiLvlLbl val="0"/>
      </c:catAx>
      <c:valAx>
        <c:axId val="533371368"/>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533371040"/>
        <c:crosses val="autoZero"/>
        <c:crossBetween val="between"/>
      </c:valAx>
      <c:spPr>
        <a:solidFill>
          <a:schemeClr val="accent2">
            <a:lumMod val="40000"/>
            <a:lumOff val="60000"/>
          </a:schemeClr>
        </a:solidFill>
        <a:ln>
          <a:solidFill>
            <a:schemeClr val="accent1">
              <a:lumMod val="20000"/>
              <a:lumOff val="80000"/>
            </a:schemeClr>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ar-JO"/>
              <a:t>العلامة النهائية للمؤسسة </a:t>
            </a:r>
          </a:p>
          <a:p>
            <a:pPr>
              <a:defRPr/>
            </a:pPr>
            <a:r>
              <a:rPr lang="ar-JO"/>
              <a:t>من 100</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5388544207441847E-2"/>
          <c:y val="0.1948612117713055"/>
          <c:w val="0.90286351706036749"/>
          <c:h val="0.72088764946048411"/>
        </c:manualLayout>
      </c:layout>
      <c:barChart>
        <c:barDir val="col"/>
        <c:grouping val="clustered"/>
        <c:varyColors val="0"/>
        <c:ser>
          <c:idx val="0"/>
          <c:order val="0"/>
          <c:tx>
            <c:strRef>
              <c:f>'ملخص التقييم ودليل المستويات'!$F$6</c:f>
              <c:strCache>
                <c:ptCount val="1"/>
                <c:pt idx="0">
                  <c:v>العلامة النهائية من 100</c:v>
                </c:pt>
              </c:strCache>
            </c:strRef>
          </c:tx>
          <c:spPr>
            <a:solidFill>
              <a:schemeClr val="accent2"/>
            </a:solidFill>
            <a:ln>
              <a:noFill/>
            </a:ln>
            <a:effectLst>
              <a:outerShdw blurRad="57150" dist="19050" dir="5400000">
                <a:srgbClr val="000000">
                  <a:alpha val="63000"/>
                </a:srgbClr>
              </a:outerShdw>
            </a:effectLst>
          </c:spPr>
          <c:invertIfNegative val="0"/>
          <c:dPt>
            <c:idx val="0"/>
            <c:invertIfNegative val="0"/>
            <c:bubble3D val="0"/>
            <c:spPr>
              <a:solidFill>
                <a:srgbClr val="FFC000"/>
              </a:solidFill>
              <a:ln>
                <a:noFill/>
              </a:ln>
              <a:effectLst>
                <a:outerShdw blurRad="57150" dist="19050" dir="5400000">
                  <a:srgbClr val="000000">
                    <a:alpha val="63000"/>
                  </a:srgbClr>
                </a:outerShdw>
              </a:effectLst>
            </c:spPr>
            <c:extLst>
              <c:ext xmlns:c16="http://schemas.microsoft.com/office/drawing/2014/chart" uri="{C3380CC4-5D6E-409C-BE32-E72D297353CC}">
                <c16:uniqueId val="{00000003-5CBF-4CF9-800B-9A9DBEB461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val>
            <c:numRef>
              <c:f>'ملخص التقييم ودليل المستويات'!$G$6</c:f>
              <c:numCache>
                <c:formatCode>General</c:formatCode>
                <c:ptCount val="1"/>
                <c:pt idx="0">
                  <c:v>20</c:v>
                </c:pt>
              </c:numCache>
            </c:numRef>
          </c:val>
          <c:extLst>
            <c:ext xmlns:c16="http://schemas.microsoft.com/office/drawing/2014/chart" uri="{C3380CC4-5D6E-409C-BE32-E72D297353CC}">
              <c16:uniqueId val="{00000000-1AC9-4AA5-880A-5D19E0AD4EED}"/>
            </c:ext>
          </c:extLst>
        </c:ser>
        <c:dLbls>
          <c:showLegendKey val="0"/>
          <c:showVal val="0"/>
          <c:showCatName val="0"/>
          <c:showSerName val="0"/>
          <c:showPercent val="0"/>
          <c:showBubbleSize val="0"/>
        </c:dLbls>
        <c:gapWidth val="100"/>
        <c:overlap val="-24"/>
        <c:axId val="656166496"/>
        <c:axId val="656170760"/>
      </c:barChart>
      <c:catAx>
        <c:axId val="656166496"/>
        <c:scaling>
          <c:orientation val="minMax"/>
        </c:scaling>
        <c:delete val="0"/>
        <c:axPos val="b"/>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6170760"/>
        <c:crosses val="autoZero"/>
        <c:auto val="1"/>
        <c:lblAlgn val="ctr"/>
        <c:lblOffset val="100"/>
        <c:noMultiLvlLbl val="0"/>
      </c:catAx>
      <c:valAx>
        <c:axId val="656170760"/>
        <c:scaling>
          <c:orientation val="minMax"/>
          <c:max val="100"/>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6166496"/>
        <c:crosses val="autoZero"/>
        <c:crossBetween val="between"/>
      </c:valAx>
      <c:spPr>
        <a:noFill/>
        <a:ln>
          <a:noFill/>
        </a:ln>
        <a:effectLst/>
      </c:spPr>
    </c:plotArea>
    <c:plotVisOnly val="1"/>
    <c:dispBlanksAs val="gap"/>
    <c:showDLblsOverMax val="0"/>
  </c:chart>
  <c:spPr>
    <a:solidFill>
      <a:schemeClr val="tx2">
        <a:lumMod val="90000"/>
        <a:lumOff val="10000"/>
      </a:schemeClr>
    </a:soli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'تحليل النتائج والرسوم البيانية'!$W$2</c:f>
              <c:strCache>
                <c:ptCount val="1"/>
                <c:pt idx="0">
                  <c:v>الترويج والخبرة في تعلم الكبار</c:v>
                </c:pt>
              </c:strCache>
            </c:strRef>
          </c:tx>
          <c:spPr>
            <a:solidFill>
              <a:schemeClr val="accent1"/>
            </a:solidFill>
            <a:ln>
              <a:noFill/>
            </a:ln>
            <a:effectLst/>
            <a:sp3d/>
          </c:spPr>
          <c:invertIfNegative val="0"/>
          <c:cat>
            <c:strRef>
              <c:f>'تحليل النتائج والرسوم البيانية'!$X$1</c:f>
              <c:strCache>
                <c:ptCount val="1"/>
                <c:pt idx="0">
                  <c:v>العلامة من 100</c:v>
                </c:pt>
              </c:strCache>
            </c:strRef>
          </c:cat>
          <c:val>
            <c:numRef>
              <c:f>'تحليل النتائج والرسوم البيانية'!$X$2</c:f>
              <c:numCache>
                <c:formatCode>0.00</c:formatCode>
                <c:ptCount val="1"/>
                <c:pt idx="0">
                  <c:v>20</c:v>
                </c:pt>
              </c:numCache>
            </c:numRef>
          </c:val>
          <c:extLst>
            <c:ext xmlns:c16="http://schemas.microsoft.com/office/drawing/2014/chart" uri="{C3380CC4-5D6E-409C-BE32-E72D297353CC}">
              <c16:uniqueId val="{00000000-8623-499B-B81F-3F37B4FE7160}"/>
            </c:ext>
          </c:extLst>
        </c:ser>
        <c:ser>
          <c:idx val="1"/>
          <c:order val="1"/>
          <c:tx>
            <c:strRef>
              <c:f>'تحليل النتائج والرسوم البيانية'!$W$3</c:f>
              <c:strCache>
                <c:ptCount val="1"/>
                <c:pt idx="0">
                  <c:v>برامج تعلم وتعليم الكبار</c:v>
                </c:pt>
              </c:strCache>
            </c:strRef>
          </c:tx>
          <c:spPr>
            <a:solidFill>
              <a:schemeClr val="accent2"/>
            </a:solidFill>
            <a:ln>
              <a:noFill/>
            </a:ln>
            <a:effectLst/>
            <a:sp3d/>
          </c:spPr>
          <c:invertIfNegative val="0"/>
          <c:cat>
            <c:strRef>
              <c:f>'تحليل النتائج والرسوم البيانية'!$X$1</c:f>
              <c:strCache>
                <c:ptCount val="1"/>
                <c:pt idx="0">
                  <c:v>العلامة من 100</c:v>
                </c:pt>
              </c:strCache>
            </c:strRef>
          </c:cat>
          <c:val>
            <c:numRef>
              <c:f>'تحليل النتائج والرسوم البيانية'!$X$3</c:f>
              <c:numCache>
                <c:formatCode>0.00</c:formatCode>
                <c:ptCount val="1"/>
                <c:pt idx="0">
                  <c:v>20</c:v>
                </c:pt>
              </c:numCache>
            </c:numRef>
          </c:val>
          <c:extLst>
            <c:ext xmlns:c16="http://schemas.microsoft.com/office/drawing/2014/chart" uri="{C3380CC4-5D6E-409C-BE32-E72D297353CC}">
              <c16:uniqueId val="{00000001-8623-499B-B81F-3F37B4FE7160}"/>
            </c:ext>
          </c:extLst>
        </c:ser>
        <c:ser>
          <c:idx val="2"/>
          <c:order val="2"/>
          <c:tx>
            <c:strRef>
              <c:f>'تحليل النتائج والرسوم البيانية'!$W$4</c:f>
              <c:strCache>
                <c:ptCount val="1"/>
                <c:pt idx="0">
                  <c:v>البحث المجتمعي والتواصل</c:v>
                </c:pt>
              </c:strCache>
            </c:strRef>
          </c:tx>
          <c:spPr>
            <a:solidFill>
              <a:schemeClr val="accent3"/>
            </a:solidFill>
            <a:ln>
              <a:noFill/>
            </a:ln>
            <a:effectLst/>
            <a:sp3d/>
          </c:spPr>
          <c:invertIfNegative val="0"/>
          <c:cat>
            <c:strRef>
              <c:f>'تحليل النتائج والرسوم البيانية'!$X$1</c:f>
              <c:strCache>
                <c:ptCount val="1"/>
                <c:pt idx="0">
                  <c:v>العلامة من 100</c:v>
                </c:pt>
              </c:strCache>
            </c:strRef>
          </c:cat>
          <c:val>
            <c:numRef>
              <c:f>'تحليل النتائج والرسوم البيانية'!$X$4</c:f>
              <c:numCache>
                <c:formatCode>0.00</c:formatCode>
                <c:ptCount val="1"/>
                <c:pt idx="0">
                  <c:v>20</c:v>
                </c:pt>
              </c:numCache>
            </c:numRef>
          </c:val>
          <c:extLst>
            <c:ext xmlns:c16="http://schemas.microsoft.com/office/drawing/2014/chart" uri="{C3380CC4-5D6E-409C-BE32-E72D297353CC}">
              <c16:uniqueId val="{00000002-8623-499B-B81F-3F37B4FE7160}"/>
            </c:ext>
          </c:extLst>
        </c:ser>
        <c:ser>
          <c:idx val="3"/>
          <c:order val="3"/>
          <c:tx>
            <c:strRef>
              <c:f>'تحليل النتائج والرسوم البيانية'!$W$5</c:f>
              <c:strCache>
                <c:ptCount val="1"/>
                <c:pt idx="0">
                  <c:v>التواصل والمناصرة</c:v>
                </c:pt>
              </c:strCache>
            </c:strRef>
          </c:tx>
          <c:spPr>
            <a:solidFill>
              <a:schemeClr val="accent4"/>
            </a:solidFill>
            <a:ln>
              <a:noFill/>
            </a:ln>
            <a:effectLst/>
            <a:sp3d/>
          </c:spPr>
          <c:invertIfNegative val="0"/>
          <c:cat>
            <c:strRef>
              <c:f>'تحليل النتائج والرسوم البيانية'!$X$1</c:f>
              <c:strCache>
                <c:ptCount val="1"/>
                <c:pt idx="0">
                  <c:v>العلامة من 100</c:v>
                </c:pt>
              </c:strCache>
            </c:strRef>
          </c:cat>
          <c:val>
            <c:numRef>
              <c:f>'تحليل النتائج والرسوم البيانية'!$X$5</c:f>
              <c:numCache>
                <c:formatCode>0.00</c:formatCode>
                <c:ptCount val="1"/>
                <c:pt idx="0">
                  <c:v>20</c:v>
                </c:pt>
              </c:numCache>
            </c:numRef>
          </c:val>
          <c:extLst>
            <c:ext xmlns:c16="http://schemas.microsoft.com/office/drawing/2014/chart" uri="{C3380CC4-5D6E-409C-BE32-E72D297353CC}">
              <c16:uniqueId val="{00000003-8623-499B-B81F-3F37B4FE7160}"/>
            </c:ext>
          </c:extLst>
        </c:ser>
        <c:ser>
          <c:idx val="4"/>
          <c:order val="4"/>
          <c:tx>
            <c:strRef>
              <c:f>'تحليل النتائج والرسوم البيانية'!$W$6</c:f>
              <c:strCache>
                <c:ptCount val="1"/>
                <c:pt idx="0">
                  <c:v>الموارد البشرية</c:v>
                </c:pt>
              </c:strCache>
            </c:strRef>
          </c:tx>
          <c:spPr>
            <a:solidFill>
              <a:schemeClr val="accent5"/>
            </a:solidFill>
            <a:ln>
              <a:noFill/>
            </a:ln>
            <a:effectLst/>
            <a:sp3d/>
          </c:spPr>
          <c:invertIfNegative val="0"/>
          <c:cat>
            <c:strRef>
              <c:f>'تحليل النتائج والرسوم البيانية'!$X$1</c:f>
              <c:strCache>
                <c:ptCount val="1"/>
                <c:pt idx="0">
                  <c:v>العلامة من 100</c:v>
                </c:pt>
              </c:strCache>
            </c:strRef>
          </c:cat>
          <c:val>
            <c:numRef>
              <c:f>'تحليل النتائج والرسوم البيانية'!$X$6</c:f>
              <c:numCache>
                <c:formatCode>0.00</c:formatCode>
                <c:ptCount val="1"/>
                <c:pt idx="0">
                  <c:v>20</c:v>
                </c:pt>
              </c:numCache>
            </c:numRef>
          </c:val>
          <c:extLst>
            <c:ext xmlns:c16="http://schemas.microsoft.com/office/drawing/2014/chart" uri="{C3380CC4-5D6E-409C-BE32-E72D297353CC}">
              <c16:uniqueId val="{00000004-8623-499B-B81F-3F37B4FE7160}"/>
            </c:ext>
          </c:extLst>
        </c:ser>
        <c:ser>
          <c:idx val="5"/>
          <c:order val="5"/>
          <c:tx>
            <c:strRef>
              <c:f>'تحليل النتائج والرسوم البيانية'!$W$7</c:f>
              <c:strCache>
                <c:ptCount val="1"/>
                <c:pt idx="0">
                  <c:v>جمع التمويل وكتابة المشاريع</c:v>
                </c:pt>
              </c:strCache>
            </c:strRef>
          </c:tx>
          <c:spPr>
            <a:solidFill>
              <a:schemeClr val="accent6"/>
            </a:solidFill>
            <a:ln>
              <a:noFill/>
            </a:ln>
            <a:effectLst/>
            <a:sp3d/>
          </c:spPr>
          <c:invertIfNegative val="0"/>
          <c:cat>
            <c:strRef>
              <c:f>'تحليل النتائج والرسوم البيانية'!$X$1</c:f>
              <c:strCache>
                <c:ptCount val="1"/>
                <c:pt idx="0">
                  <c:v>العلامة من 100</c:v>
                </c:pt>
              </c:strCache>
            </c:strRef>
          </c:cat>
          <c:val>
            <c:numRef>
              <c:f>'تحليل النتائج والرسوم البيانية'!$X$7</c:f>
              <c:numCache>
                <c:formatCode>0.00</c:formatCode>
                <c:ptCount val="1"/>
                <c:pt idx="0">
                  <c:v>20</c:v>
                </c:pt>
              </c:numCache>
            </c:numRef>
          </c:val>
          <c:extLst>
            <c:ext xmlns:c16="http://schemas.microsoft.com/office/drawing/2014/chart" uri="{C3380CC4-5D6E-409C-BE32-E72D297353CC}">
              <c16:uniqueId val="{00000005-8623-499B-B81F-3F37B4FE7160}"/>
            </c:ext>
          </c:extLst>
        </c:ser>
        <c:ser>
          <c:idx val="6"/>
          <c:order val="6"/>
          <c:tx>
            <c:strRef>
              <c:f>'تحليل النتائج والرسوم البيانية'!$W$8</c:f>
              <c:strCache>
                <c:ptCount val="1"/>
                <c:pt idx="0">
                  <c:v>البنية التحتية والمعدات والتكنو</c:v>
                </c:pt>
              </c:strCache>
            </c:strRef>
          </c:tx>
          <c:spPr>
            <a:solidFill>
              <a:schemeClr val="accent1">
                <a:lumMod val="60000"/>
              </a:schemeClr>
            </a:solidFill>
            <a:ln>
              <a:noFill/>
            </a:ln>
            <a:effectLst/>
            <a:sp3d/>
          </c:spPr>
          <c:invertIfNegative val="0"/>
          <c:cat>
            <c:strRef>
              <c:f>'تحليل النتائج والرسوم البيانية'!$X$1</c:f>
              <c:strCache>
                <c:ptCount val="1"/>
                <c:pt idx="0">
                  <c:v>العلامة من 100</c:v>
                </c:pt>
              </c:strCache>
            </c:strRef>
          </c:cat>
          <c:val>
            <c:numRef>
              <c:f>'تحليل النتائج والرسوم البيانية'!$X$8</c:f>
              <c:numCache>
                <c:formatCode>0.00</c:formatCode>
                <c:ptCount val="1"/>
                <c:pt idx="0">
                  <c:v>20</c:v>
                </c:pt>
              </c:numCache>
            </c:numRef>
          </c:val>
          <c:extLst>
            <c:ext xmlns:c16="http://schemas.microsoft.com/office/drawing/2014/chart" uri="{C3380CC4-5D6E-409C-BE32-E72D297353CC}">
              <c16:uniqueId val="{00000006-8623-499B-B81F-3F37B4FE7160}"/>
            </c:ext>
          </c:extLst>
        </c:ser>
        <c:ser>
          <c:idx val="7"/>
          <c:order val="7"/>
          <c:tx>
            <c:strRef>
              <c:f>'تحليل النتائج والرسوم البيانية'!$W$9</c:f>
              <c:strCache>
                <c:ptCount val="1"/>
                <c:pt idx="0">
                  <c:v>الإدارة المالية</c:v>
                </c:pt>
              </c:strCache>
            </c:strRef>
          </c:tx>
          <c:spPr>
            <a:solidFill>
              <a:schemeClr val="accent2">
                <a:lumMod val="60000"/>
              </a:schemeClr>
            </a:solidFill>
            <a:ln>
              <a:noFill/>
            </a:ln>
            <a:effectLst/>
            <a:sp3d/>
          </c:spPr>
          <c:invertIfNegative val="0"/>
          <c:cat>
            <c:strRef>
              <c:f>'تحليل النتائج والرسوم البيانية'!$X$1</c:f>
              <c:strCache>
                <c:ptCount val="1"/>
                <c:pt idx="0">
                  <c:v>العلامة من 100</c:v>
                </c:pt>
              </c:strCache>
            </c:strRef>
          </c:cat>
          <c:val>
            <c:numRef>
              <c:f>'تحليل النتائج والرسوم البيانية'!$X$9</c:f>
              <c:numCache>
                <c:formatCode>0.00</c:formatCode>
                <c:ptCount val="1"/>
                <c:pt idx="0">
                  <c:v>20</c:v>
                </c:pt>
              </c:numCache>
            </c:numRef>
          </c:val>
          <c:extLst>
            <c:ext xmlns:c16="http://schemas.microsoft.com/office/drawing/2014/chart" uri="{C3380CC4-5D6E-409C-BE32-E72D297353CC}">
              <c16:uniqueId val="{00000007-8623-499B-B81F-3F37B4FE7160}"/>
            </c:ext>
          </c:extLst>
        </c:ser>
        <c:ser>
          <c:idx val="8"/>
          <c:order val="8"/>
          <c:tx>
            <c:strRef>
              <c:f>'تحليل النتائج والرسوم البيانية'!$W$10</c:f>
              <c:strCache>
                <c:ptCount val="1"/>
                <c:pt idx="0">
                  <c:v>الإدارة والحوكمة</c:v>
                </c:pt>
              </c:strCache>
            </c:strRef>
          </c:tx>
          <c:spPr>
            <a:solidFill>
              <a:schemeClr val="accent3">
                <a:lumMod val="60000"/>
              </a:schemeClr>
            </a:solidFill>
            <a:ln>
              <a:noFill/>
            </a:ln>
            <a:effectLst/>
            <a:sp3d/>
          </c:spPr>
          <c:invertIfNegative val="0"/>
          <c:cat>
            <c:strRef>
              <c:f>'تحليل النتائج والرسوم البيانية'!$X$1</c:f>
              <c:strCache>
                <c:ptCount val="1"/>
                <c:pt idx="0">
                  <c:v>العلامة من 100</c:v>
                </c:pt>
              </c:strCache>
            </c:strRef>
          </c:cat>
          <c:val>
            <c:numRef>
              <c:f>'تحليل النتائج والرسوم البيانية'!$X$10</c:f>
              <c:numCache>
                <c:formatCode>0.00</c:formatCode>
                <c:ptCount val="1"/>
                <c:pt idx="0">
                  <c:v>20</c:v>
                </c:pt>
              </c:numCache>
            </c:numRef>
          </c:val>
          <c:extLst>
            <c:ext xmlns:c16="http://schemas.microsoft.com/office/drawing/2014/chart" uri="{C3380CC4-5D6E-409C-BE32-E72D297353CC}">
              <c16:uniqueId val="{00000008-8623-499B-B81F-3F37B4FE7160}"/>
            </c:ext>
          </c:extLst>
        </c:ser>
        <c:dLbls>
          <c:showLegendKey val="0"/>
          <c:showVal val="0"/>
          <c:showCatName val="0"/>
          <c:showSerName val="0"/>
          <c:showPercent val="0"/>
          <c:showBubbleSize val="0"/>
        </c:dLbls>
        <c:gapWidth val="150"/>
        <c:shape val="box"/>
        <c:axId val="548703752"/>
        <c:axId val="548704408"/>
        <c:axId val="0"/>
      </c:bar3DChart>
      <c:catAx>
        <c:axId val="548703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704408"/>
        <c:crosses val="autoZero"/>
        <c:auto val="1"/>
        <c:lblAlgn val="ctr"/>
        <c:lblOffset val="100"/>
        <c:noMultiLvlLbl val="0"/>
      </c:catAx>
      <c:valAx>
        <c:axId val="54870440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70375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1.xml"/></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2.xml"/></Relationships>
</file>

<file path=xl/drawings/_rels/drawing1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5.xml"/></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949960</xdr:colOff>
      <xdr:row>0</xdr:row>
      <xdr:rowOff>0</xdr:rowOff>
    </xdr:from>
    <xdr:to>
      <xdr:col>3</xdr:col>
      <xdr:colOff>1833880</xdr:colOff>
      <xdr:row>3</xdr:row>
      <xdr:rowOff>17494</xdr:rowOff>
    </xdr:to>
    <xdr:pic>
      <xdr:nvPicPr>
        <xdr:cNvPr id="2" name="Picture 1">
          <a:extLst>
            <a:ext uri="{FF2B5EF4-FFF2-40B4-BE49-F238E27FC236}">
              <a16:creationId xmlns:a16="http://schemas.microsoft.com/office/drawing/2014/main" id="{869CC3A9-05B8-47DA-A55D-6301CF96AF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83823600" y="0"/>
          <a:ext cx="883920" cy="5508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53340</xdr:colOff>
      <xdr:row>0</xdr:row>
      <xdr:rowOff>0</xdr:rowOff>
    </xdr:from>
    <xdr:to>
      <xdr:col>9</xdr:col>
      <xdr:colOff>160020</xdr:colOff>
      <xdr:row>3</xdr:row>
      <xdr:rowOff>112475</xdr:rowOff>
    </xdr:to>
    <xdr:pic>
      <xdr:nvPicPr>
        <xdr:cNvPr id="2" name="Picture 1">
          <a:extLst>
            <a:ext uri="{FF2B5EF4-FFF2-40B4-BE49-F238E27FC236}">
              <a16:creationId xmlns:a16="http://schemas.microsoft.com/office/drawing/2014/main" id="{869CC3A9-05B8-47DA-A55D-6301CF96AF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82645040" y="0"/>
          <a:ext cx="1036320" cy="64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518160</xdr:colOff>
      <xdr:row>0</xdr:row>
      <xdr:rowOff>0</xdr:rowOff>
    </xdr:from>
    <xdr:to>
      <xdr:col>9</xdr:col>
      <xdr:colOff>60960</xdr:colOff>
      <xdr:row>4</xdr:row>
      <xdr:rowOff>139548</xdr:rowOff>
    </xdr:to>
    <xdr:pic>
      <xdr:nvPicPr>
        <xdr:cNvPr id="2" name="Picture 1">
          <a:extLst>
            <a:ext uri="{FF2B5EF4-FFF2-40B4-BE49-F238E27FC236}">
              <a16:creationId xmlns:a16="http://schemas.microsoft.com/office/drawing/2014/main" id="{869CC3A9-05B8-47DA-A55D-6301CF96AF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2164980" y="0"/>
          <a:ext cx="1348740" cy="8405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194735</xdr:colOff>
      <xdr:row>0</xdr:row>
      <xdr:rowOff>0</xdr:rowOff>
    </xdr:from>
    <xdr:to>
      <xdr:col>8</xdr:col>
      <xdr:colOff>418312</xdr:colOff>
      <xdr:row>4</xdr:row>
      <xdr:rowOff>50800</xdr:rowOff>
    </xdr:to>
    <xdr:pic>
      <xdr:nvPicPr>
        <xdr:cNvPr id="2" name="Picture 1">
          <a:extLst>
            <a:ext uri="{FF2B5EF4-FFF2-40B4-BE49-F238E27FC236}">
              <a16:creationId xmlns:a16="http://schemas.microsoft.com/office/drawing/2014/main" id="{869CC3A9-05B8-47DA-A55D-6301CF96AF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5008088" y="0"/>
          <a:ext cx="1222644"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205740</xdr:colOff>
      <xdr:row>0</xdr:row>
      <xdr:rowOff>0</xdr:rowOff>
    </xdr:from>
    <xdr:to>
      <xdr:col>8</xdr:col>
      <xdr:colOff>259080</xdr:colOff>
      <xdr:row>4</xdr:row>
      <xdr:rowOff>35068</xdr:rowOff>
    </xdr:to>
    <xdr:pic>
      <xdr:nvPicPr>
        <xdr:cNvPr id="2" name="Picture 1">
          <a:extLst>
            <a:ext uri="{FF2B5EF4-FFF2-40B4-BE49-F238E27FC236}">
              <a16:creationId xmlns:a16="http://schemas.microsoft.com/office/drawing/2014/main" id="{869CC3A9-05B8-47DA-A55D-6301CF96AF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2614560" y="0"/>
          <a:ext cx="1181100" cy="7361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167640</xdr:colOff>
      <xdr:row>0</xdr:row>
      <xdr:rowOff>0</xdr:rowOff>
    </xdr:from>
    <xdr:to>
      <xdr:col>8</xdr:col>
      <xdr:colOff>739140</xdr:colOff>
      <xdr:row>4</xdr:row>
      <xdr:rowOff>87308</xdr:rowOff>
    </xdr:to>
    <xdr:pic>
      <xdr:nvPicPr>
        <xdr:cNvPr id="2" name="Picture 1">
          <a:extLst>
            <a:ext uri="{FF2B5EF4-FFF2-40B4-BE49-F238E27FC236}">
              <a16:creationId xmlns:a16="http://schemas.microsoft.com/office/drawing/2014/main" id="{869CC3A9-05B8-47DA-A55D-6301CF96AF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2081160" y="0"/>
          <a:ext cx="1264920" cy="788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182880</xdr:colOff>
      <xdr:row>0</xdr:row>
      <xdr:rowOff>0</xdr:rowOff>
    </xdr:from>
    <xdr:to>
      <xdr:col>8</xdr:col>
      <xdr:colOff>594360</xdr:colOff>
      <xdr:row>4</xdr:row>
      <xdr:rowOff>30319</xdr:rowOff>
    </xdr:to>
    <xdr:pic>
      <xdr:nvPicPr>
        <xdr:cNvPr id="2" name="Picture 1">
          <a:extLst>
            <a:ext uri="{FF2B5EF4-FFF2-40B4-BE49-F238E27FC236}">
              <a16:creationId xmlns:a16="http://schemas.microsoft.com/office/drawing/2014/main" id="{869CC3A9-05B8-47DA-A55D-6301CF96AF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3048900" y="0"/>
          <a:ext cx="1173480" cy="7313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2545081</xdr:colOff>
      <xdr:row>0</xdr:row>
      <xdr:rowOff>0</xdr:rowOff>
    </xdr:from>
    <xdr:to>
      <xdr:col>8</xdr:col>
      <xdr:colOff>266700</xdr:colOff>
      <xdr:row>3</xdr:row>
      <xdr:rowOff>172335</xdr:rowOff>
    </xdr:to>
    <xdr:pic>
      <xdr:nvPicPr>
        <xdr:cNvPr id="2" name="Picture 1">
          <a:extLst>
            <a:ext uri="{FF2B5EF4-FFF2-40B4-BE49-F238E27FC236}">
              <a16:creationId xmlns:a16="http://schemas.microsoft.com/office/drawing/2014/main" id="{869CC3A9-05B8-47DA-A55D-6301CF96AF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2667900" y="0"/>
          <a:ext cx="1120139" cy="6981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815340</xdr:colOff>
      <xdr:row>0</xdr:row>
      <xdr:rowOff>0</xdr:rowOff>
    </xdr:from>
    <xdr:to>
      <xdr:col>8</xdr:col>
      <xdr:colOff>685800</xdr:colOff>
      <xdr:row>4</xdr:row>
      <xdr:rowOff>11323</xdr:rowOff>
    </xdr:to>
    <xdr:pic>
      <xdr:nvPicPr>
        <xdr:cNvPr id="2" name="Picture 1">
          <a:extLst>
            <a:ext uri="{FF2B5EF4-FFF2-40B4-BE49-F238E27FC236}">
              <a16:creationId xmlns:a16="http://schemas.microsoft.com/office/drawing/2014/main" id="{869CC3A9-05B8-47DA-A55D-6301CF96AF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2302140" y="0"/>
          <a:ext cx="1143000" cy="7123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990600</xdr:colOff>
      <xdr:row>0</xdr:row>
      <xdr:rowOff>15240</xdr:rowOff>
    </xdr:from>
    <xdr:to>
      <xdr:col>9</xdr:col>
      <xdr:colOff>15240</xdr:colOff>
      <xdr:row>3</xdr:row>
      <xdr:rowOff>159081</xdr:rowOff>
    </xdr:to>
    <xdr:pic>
      <xdr:nvPicPr>
        <xdr:cNvPr id="2" name="Picture 1">
          <a:extLst>
            <a:ext uri="{FF2B5EF4-FFF2-40B4-BE49-F238E27FC236}">
              <a16:creationId xmlns:a16="http://schemas.microsoft.com/office/drawing/2014/main" id="{869CC3A9-05B8-47DA-A55D-6301CF96AF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81890660" y="15240"/>
          <a:ext cx="1074420" cy="669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6</xdr:col>
      <xdr:colOff>830580</xdr:colOff>
      <xdr:row>0</xdr:row>
      <xdr:rowOff>0</xdr:rowOff>
    </xdr:from>
    <xdr:to>
      <xdr:col>7</xdr:col>
      <xdr:colOff>38100</xdr:colOff>
      <xdr:row>4</xdr:row>
      <xdr:rowOff>87308</xdr:rowOff>
    </xdr:to>
    <xdr:pic>
      <xdr:nvPicPr>
        <xdr:cNvPr id="2" name="Picture 1">
          <a:extLst>
            <a:ext uri="{FF2B5EF4-FFF2-40B4-BE49-F238E27FC236}">
              <a16:creationId xmlns:a16="http://schemas.microsoft.com/office/drawing/2014/main" id="{869CC3A9-05B8-47DA-A55D-6301CF96AF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1723020" y="0"/>
          <a:ext cx="1264920" cy="788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1013460</xdr:colOff>
      <xdr:row>18</xdr:row>
      <xdr:rowOff>99060</xdr:rowOff>
    </xdr:from>
    <xdr:to>
      <xdr:col>3</xdr:col>
      <xdr:colOff>5996940</xdr:colOff>
      <xdr:row>38</xdr:row>
      <xdr:rowOff>160020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7254240</xdr:colOff>
      <xdr:row>0</xdr:row>
      <xdr:rowOff>0</xdr:rowOff>
    </xdr:from>
    <xdr:to>
      <xdr:col>4</xdr:col>
      <xdr:colOff>1188720</xdr:colOff>
      <xdr:row>4</xdr:row>
      <xdr:rowOff>87308</xdr:rowOff>
    </xdr:to>
    <xdr:pic>
      <xdr:nvPicPr>
        <xdr:cNvPr id="3" name="Picture 2">
          <a:extLst>
            <a:ext uri="{FF2B5EF4-FFF2-40B4-BE49-F238E27FC236}">
              <a16:creationId xmlns:a16="http://schemas.microsoft.com/office/drawing/2014/main" id="{869CC3A9-05B8-47DA-A55D-6301CF96AF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983346080" y="0"/>
          <a:ext cx="1264920" cy="788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8</xdr:col>
      <xdr:colOff>133350</xdr:colOff>
      <xdr:row>0</xdr:row>
      <xdr:rowOff>0</xdr:rowOff>
    </xdr:from>
    <xdr:to>
      <xdr:col>10</xdr:col>
      <xdr:colOff>64770</xdr:colOff>
      <xdr:row>4</xdr:row>
      <xdr:rowOff>102548</xdr:rowOff>
    </xdr:to>
    <xdr:pic>
      <xdr:nvPicPr>
        <xdr:cNvPr id="2" name="Picture 1">
          <a:extLst>
            <a:ext uri="{FF2B5EF4-FFF2-40B4-BE49-F238E27FC236}">
              <a16:creationId xmlns:a16="http://schemas.microsoft.com/office/drawing/2014/main" id="{869CC3A9-05B8-47DA-A55D-6301CF96AF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17299730" y="0"/>
          <a:ext cx="1264920" cy="788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6</xdr:col>
      <xdr:colOff>175260</xdr:colOff>
      <xdr:row>0</xdr:row>
      <xdr:rowOff>0</xdr:rowOff>
    </xdr:from>
    <xdr:to>
      <xdr:col>7</xdr:col>
      <xdr:colOff>769620</xdr:colOff>
      <xdr:row>4</xdr:row>
      <xdr:rowOff>87308</xdr:rowOff>
    </xdr:to>
    <xdr:pic>
      <xdr:nvPicPr>
        <xdr:cNvPr id="2" name="Picture 1">
          <a:extLst>
            <a:ext uri="{FF2B5EF4-FFF2-40B4-BE49-F238E27FC236}">
              <a16:creationId xmlns:a16="http://schemas.microsoft.com/office/drawing/2014/main" id="{869CC3A9-05B8-47DA-A55D-6301CF96AF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1212480" y="0"/>
          <a:ext cx="1264920" cy="788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8</xdr:col>
      <xdr:colOff>396240</xdr:colOff>
      <xdr:row>6</xdr:row>
      <xdr:rowOff>64770</xdr:rowOff>
    </xdr:from>
    <xdr:to>
      <xdr:col>15</xdr:col>
      <xdr:colOff>274320</xdr:colOff>
      <xdr:row>6</xdr:row>
      <xdr:rowOff>3147060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3413760</xdr:colOff>
      <xdr:row>0</xdr:row>
      <xdr:rowOff>22860</xdr:rowOff>
    </xdr:from>
    <xdr:to>
      <xdr:col>3</xdr:col>
      <xdr:colOff>4678680</xdr:colOff>
      <xdr:row>4</xdr:row>
      <xdr:rowOff>102548</xdr:rowOff>
    </xdr:to>
    <xdr:pic>
      <xdr:nvPicPr>
        <xdr:cNvPr id="3" name="Picture 2">
          <a:extLst>
            <a:ext uri="{FF2B5EF4-FFF2-40B4-BE49-F238E27FC236}">
              <a16:creationId xmlns:a16="http://schemas.microsoft.com/office/drawing/2014/main" id="{869CC3A9-05B8-47DA-A55D-6301CF96AF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986333120" y="22860"/>
          <a:ext cx="1264920" cy="788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3</xdr:row>
      <xdr:rowOff>60960</xdr:rowOff>
    </xdr:from>
    <xdr:to>
      <xdr:col>20</xdr:col>
      <xdr:colOff>457200</xdr:colOff>
      <xdr:row>27</xdr:row>
      <xdr:rowOff>1424940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556260</xdr:colOff>
      <xdr:row>30</xdr:row>
      <xdr:rowOff>83820</xdr:rowOff>
    </xdr:from>
    <xdr:to>
      <xdr:col>20</xdr:col>
      <xdr:colOff>403860</xdr:colOff>
      <xdr:row>50</xdr:row>
      <xdr:rowOff>152400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22860</xdr:colOff>
      <xdr:row>0</xdr:row>
      <xdr:rowOff>0</xdr:rowOff>
    </xdr:from>
    <xdr:to>
      <xdr:col>19</xdr:col>
      <xdr:colOff>434340</xdr:colOff>
      <xdr:row>3</xdr:row>
      <xdr:rowOff>148590</xdr:rowOff>
    </xdr:to>
    <xdr:pic>
      <xdr:nvPicPr>
        <xdr:cNvPr id="5" name="Picture 4">
          <a:extLst>
            <a:ext uri="{FF2B5EF4-FFF2-40B4-BE49-F238E27FC236}">
              <a16:creationId xmlns:a16="http://schemas.microsoft.com/office/drawing/2014/main" id="{869CC3A9-05B8-47DA-A55D-6301CF96AF5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974224940" y="0"/>
          <a:ext cx="1082040" cy="674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53340</xdr:colOff>
      <xdr:row>30</xdr:row>
      <xdr:rowOff>26670</xdr:rowOff>
    </xdr:from>
    <xdr:to>
      <xdr:col>10</xdr:col>
      <xdr:colOff>15240</xdr:colOff>
      <xdr:row>50</xdr:row>
      <xdr:rowOff>45720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editAs="oneCell">
    <xdr:from>
      <xdr:col>4</xdr:col>
      <xdr:colOff>2186940</xdr:colOff>
      <xdr:row>0</xdr:row>
      <xdr:rowOff>0</xdr:rowOff>
    </xdr:from>
    <xdr:to>
      <xdr:col>5</xdr:col>
      <xdr:colOff>30480</xdr:colOff>
      <xdr:row>4</xdr:row>
      <xdr:rowOff>87308</xdr:rowOff>
    </xdr:to>
    <xdr:pic>
      <xdr:nvPicPr>
        <xdr:cNvPr id="2" name="Picture 1">
          <a:extLst>
            <a:ext uri="{FF2B5EF4-FFF2-40B4-BE49-F238E27FC236}">
              <a16:creationId xmlns:a16="http://schemas.microsoft.com/office/drawing/2014/main" id="{869CC3A9-05B8-47DA-A55D-6301CF96AF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3071760" y="0"/>
          <a:ext cx="1264920" cy="788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rightToLeft="1" zoomScale="150" zoomScaleNormal="150" workbookViewId="0">
      <selection activeCell="C5" sqref="C5"/>
    </sheetView>
  </sheetViews>
  <sheetFormatPr defaultRowHeight="13.8"/>
  <cols>
    <col min="1" max="1" width="7" customWidth="1"/>
    <col min="2" max="2" width="8.5" customWidth="1"/>
    <col min="3" max="3" width="45" customWidth="1"/>
    <col min="4" max="4" width="24.69921875" customWidth="1"/>
  </cols>
  <sheetData>
    <row r="1" spans="1:4" s="107" customFormat="1">
      <c r="A1" s="150"/>
      <c r="B1" s="150"/>
      <c r="C1" s="150"/>
      <c r="D1" s="150"/>
    </row>
    <row r="2" spans="1:4" s="107" customFormat="1">
      <c r="A2" s="150"/>
      <c r="B2" s="150"/>
      <c r="C2" s="150"/>
      <c r="D2" s="150"/>
    </row>
    <row r="3" spans="1:4" s="107" customFormat="1">
      <c r="A3" s="151"/>
      <c r="B3" s="151"/>
      <c r="C3" s="151"/>
      <c r="D3" s="151"/>
    </row>
    <row r="4" spans="1:4" ht="30.6" customHeight="1">
      <c r="A4" s="119" t="s">
        <v>0</v>
      </c>
      <c r="B4" s="119" t="s">
        <v>1</v>
      </c>
      <c r="C4" s="119" t="s">
        <v>2</v>
      </c>
      <c r="D4" s="119" t="s">
        <v>3</v>
      </c>
    </row>
    <row r="5" spans="1:4" ht="36" customHeight="1">
      <c r="A5" s="147">
        <v>1</v>
      </c>
      <c r="B5" s="148" t="s">
        <v>4</v>
      </c>
      <c r="C5" s="148" t="s">
        <v>5</v>
      </c>
      <c r="D5" s="148" t="s">
        <v>6</v>
      </c>
    </row>
    <row r="6" spans="1:4" ht="36" customHeight="1">
      <c r="A6" s="147">
        <v>2</v>
      </c>
      <c r="B6" s="148" t="s">
        <v>7</v>
      </c>
      <c r="C6" s="148" t="s">
        <v>8</v>
      </c>
      <c r="D6" s="148" t="s">
        <v>9</v>
      </c>
    </row>
    <row r="7" spans="1:4" ht="36" customHeight="1">
      <c r="A7" s="147">
        <v>3</v>
      </c>
      <c r="B7" s="148" t="s">
        <v>10</v>
      </c>
      <c r="C7" s="148" t="s">
        <v>11</v>
      </c>
      <c r="D7" s="148" t="s">
        <v>12</v>
      </c>
    </row>
    <row r="8" spans="1:4" ht="36" customHeight="1">
      <c r="A8" s="147">
        <v>4</v>
      </c>
      <c r="B8" s="148" t="s">
        <v>13</v>
      </c>
      <c r="C8" s="148" t="s">
        <v>14</v>
      </c>
      <c r="D8" s="148" t="s">
        <v>15</v>
      </c>
    </row>
    <row r="9" spans="1:4" ht="36" customHeight="1">
      <c r="A9" s="147">
        <v>5</v>
      </c>
      <c r="B9" s="148" t="s">
        <v>16</v>
      </c>
      <c r="C9" s="148" t="s">
        <v>17</v>
      </c>
      <c r="D9" s="148" t="s">
        <v>18</v>
      </c>
    </row>
    <row r="10" spans="1:4">
      <c r="A10" s="3"/>
      <c r="B10" s="3"/>
      <c r="C10" s="3"/>
      <c r="D10" s="3"/>
    </row>
    <row r="11" spans="1:4">
      <c r="A11" s="3" t="s">
        <v>19</v>
      </c>
      <c r="B11" s="3"/>
      <c r="C11" s="3"/>
      <c r="D11" s="3"/>
    </row>
    <row r="12" spans="1:4">
      <c r="A12" s="149" t="s">
        <v>20</v>
      </c>
      <c r="B12" s="149"/>
      <c r="C12" s="149"/>
      <c r="D12" s="149"/>
    </row>
  </sheetData>
  <mergeCells count="2">
    <mergeCell ref="A12:D12"/>
    <mergeCell ref="A1:D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rightToLeft="1" topLeftCell="C1" zoomScaleNormal="100" zoomScaleSheetLayoutView="80" workbookViewId="0">
      <selection activeCell="G8" sqref="G8"/>
    </sheetView>
  </sheetViews>
  <sheetFormatPr defaultRowHeight="13.8"/>
  <cols>
    <col min="1" max="1" width="21.296875" customWidth="1"/>
    <col min="2" max="2" width="29.09765625" customWidth="1"/>
    <col min="3" max="3" width="24.59765625" customWidth="1"/>
    <col min="4" max="4" width="26" customWidth="1"/>
    <col min="5" max="5" width="26.19921875" customWidth="1"/>
    <col min="6" max="6" width="22.296875" customWidth="1"/>
    <col min="7" max="7" width="34" customWidth="1"/>
    <col min="8" max="8" width="8.19921875" customWidth="1"/>
    <col min="9" max="9" width="12.19921875" customWidth="1"/>
    <col min="10" max="10" width="18.69921875" customWidth="1"/>
    <col min="11" max="11" width="15.69921875" customWidth="1"/>
    <col min="12" max="12" width="21.19921875" customWidth="1"/>
  </cols>
  <sheetData>
    <row r="1" spans="1:10" s="107" customFormat="1">
      <c r="A1" s="150"/>
      <c r="B1" s="150"/>
      <c r="C1" s="150"/>
      <c r="D1" s="150"/>
      <c r="E1" s="150"/>
      <c r="F1" s="150"/>
      <c r="G1" s="150"/>
      <c r="H1" s="150"/>
      <c r="I1" s="150"/>
    </row>
    <row r="2" spans="1:10" s="107" customFormat="1">
      <c r="A2" s="150"/>
      <c r="B2" s="150"/>
      <c r="C2" s="150"/>
      <c r="D2" s="150"/>
      <c r="E2" s="150"/>
      <c r="F2" s="150"/>
      <c r="G2" s="150"/>
      <c r="H2" s="150"/>
      <c r="I2" s="150"/>
    </row>
    <row r="3" spans="1:10" s="107" customFormat="1" ht="14.4" thickBot="1">
      <c r="A3" s="150"/>
      <c r="B3" s="150"/>
      <c r="C3" s="150"/>
      <c r="D3" s="150"/>
      <c r="E3" s="150"/>
      <c r="F3" s="150"/>
      <c r="G3" s="150"/>
      <c r="H3" s="150"/>
      <c r="I3" s="150"/>
    </row>
    <row r="4" spans="1:10" ht="31.95" customHeight="1" thickBot="1">
      <c r="A4" s="95" t="s">
        <v>21</v>
      </c>
      <c r="B4" s="95" t="s">
        <v>22</v>
      </c>
      <c r="C4" s="95" t="s">
        <v>23</v>
      </c>
      <c r="D4" s="95" t="s">
        <v>24</v>
      </c>
      <c r="E4" s="95" t="s">
        <v>25</v>
      </c>
      <c r="F4" s="95" t="s">
        <v>26</v>
      </c>
      <c r="G4" s="95" t="s">
        <v>27</v>
      </c>
      <c r="H4" s="98" t="s">
        <v>0</v>
      </c>
      <c r="I4" s="70" t="s">
        <v>620</v>
      </c>
      <c r="J4" s="99"/>
    </row>
    <row r="5" spans="1:10" ht="55.95" customHeight="1" thickBot="1">
      <c r="A5" s="96" t="s">
        <v>28</v>
      </c>
      <c r="B5" s="96" t="s">
        <v>29</v>
      </c>
      <c r="C5" s="96" t="s">
        <v>30</v>
      </c>
      <c r="D5" s="96" t="s">
        <v>31</v>
      </c>
      <c r="E5" s="96" t="s">
        <v>32</v>
      </c>
      <c r="F5" s="96" t="s">
        <v>33</v>
      </c>
      <c r="G5" s="96" t="s">
        <v>34</v>
      </c>
      <c r="H5" s="202">
        <v>1</v>
      </c>
      <c r="I5" s="66"/>
      <c r="J5" s="99"/>
    </row>
    <row r="6" spans="1:10" ht="55.95" customHeight="1" thickBot="1">
      <c r="A6" s="96" t="s">
        <v>35</v>
      </c>
      <c r="B6" s="96" t="s">
        <v>36</v>
      </c>
      <c r="C6" s="96" t="s">
        <v>37</v>
      </c>
      <c r="D6" s="96" t="s">
        <v>38</v>
      </c>
      <c r="E6" s="96" t="s">
        <v>39</v>
      </c>
      <c r="F6" s="96" t="s">
        <v>40</v>
      </c>
      <c r="G6" s="96" t="s">
        <v>41</v>
      </c>
      <c r="H6" s="202">
        <v>1</v>
      </c>
      <c r="I6" s="66"/>
      <c r="J6" s="99"/>
    </row>
    <row r="7" spans="1:10" ht="55.95" customHeight="1" thickBot="1">
      <c r="A7" s="96" t="s">
        <v>42</v>
      </c>
      <c r="B7" s="96" t="s">
        <v>43</v>
      </c>
      <c r="C7" s="96" t="s">
        <v>44</v>
      </c>
      <c r="D7" s="96" t="s">
        <v>45</v>
      </c>
      <c r="E7" s="96" t="s">
        <v>46</v>
      </c>
      <c r="F7" s="96" t="s">
        <v>47</v>
      </c>
      <c r="G7" s="96" t="s">
        <v>48</v>
      </c>
      <c r="H7" s="202">
        <v>1</v>
      </c>
      <c r="I7" s="66"/>
      <c r="J7" s="99"/>
    </row>
    <row r="8" spans="1:10" ht="55.95" customHeight="1" thickBot="1">
      <c r="A8" s="96" t="s">
        <v>49</v>
      </c>
      <c r="B8" s="96" t="s">
        <v>50</v>
      </c>
      <c r="C8" s="96" t="s">
        <v>51</v>
      </c>
      <c r="D8" s="96" t="s">
        <v>52</v>
      </c>
      <c r="E8" s="96" t="s">
        <v>53</v>
      </c>
      <c r="F8" s="96" t="s">
        <v>54</v>
      </c>
      <c r="G8" s="96" t="s">
        <v>55</v>
      </c>
      <c r="H8" s="202">
        <v>1</v>
      </c>
      <c r="I8" s="66"/>
      <c r="J8" s="99"/>
    </row>
    <row r="9" spans="1:10" ht="55.95" customHeight="1" thickBot="1">
      <c r="A9" s="96" t="s">
        <v>56</v>
      </c>
      <c r="B9" s="96" t="s">
        <v>57</v>
      </c>
      <c r="C9" s="96" t="s">
        <v>58</v>
      </c>
      <c r="D9" s="96" t="s">
        <v>59</v>
      </c>
      <c r="E9" s="96" t="s">
        <v>60</v>
      </c>
      <c r="F9" s="96" t="s">
        <v>61</v>
      </c>
      <c r="G9" s="96" t="s">
        <v>62</v>
      </c>
      <c r="H9" s="202">
        <v>1</v>
      </c>
      <c r="I9" s="66"/>
      <c r="J9" s="99"/>
    </row>
    <row r="10" spans="1:10" ht="55.95" customHeight="1" thickBot="1">
      <c r="A10" s="96" t="s">
        <v>63</v>
      </c>
      <c r="B10" s="96" t="s">
        <v>64</v>
      </c>
      <c r="C10" s="96" t="s">
        <v>65</v>
      </c>
      <c r="D10" s="96" t="s">
        <v>66</v>
      </c>
      <c r="E10" s="96" t="s">
        <v>67</v>
      </c>
      <c r="F10" s="96" t="s">
        <v>68</v>
      </c>
      <c r="G10" s="96" t="s">
        <v>69</v>
      </c>
      <c r="H10" s="202">
        <v>1</v>
      </c>
      <c r="I10" s="112"/>
      <c r="J10" s="99"/>
    </row>
    <row r="11" spans="1:10" ht="14.4" thickBot="1">
      <c r="A11" s="97"/>
      <c r="B11" s="97"/>
      <c r="C11" s="97"/>
      <c r="D11" s="97"/>
      <c r="E11" s="97"/>
      <c r="F11" s="97"/>
      <c r="G11" s="97" t="s">
        <v>70</v>
      </c>
      <c r="H11" s="113">
        <f>IFERROR(AVERAGE(H5:H10),"")</f>
        <v>1</v>
      </c>
      <c r="I11" s="112">
        <f>H11*20</f>
        <v>20</v>
      </c>
      <c r="J11" s="99"/>
    </row>
    <row r="13" spans="1:10" ht="14.4" thickBot="1">
      <c r="A13" s="1" t="s">
        <v>71</v>
      </c>
      <c r="B13" s="1" t="s">
        <v>72</v>
      </c>
      <c r="C13" s="99"/>
      <c r="D13" s="98" t="s">
        <v>637</v>
      </c>
      <c r="E13" s="98" t="s">
        <v>638</v>
      </c>
      <c r="F13" s="99"/>
      <c r="G13" s="99"/>
    </row>
    <row r="14" spans="1:10" ht="28.2" thickBot="1">
      <c r="A14" s="2" t="s">
        <v>28</v>
      </c>
      <c r="B14" s="2" t="s">
        <v>73</v>
      </c>
      <c r="C14" s="99"/>
      <c r="D14" s="100" t="s">
        <v>636</v>
      </c>
      <c r="E14" s="101" t="s">
        <v>639</v>
      </c>
      <c r="F14" s="99"/>
      <c r="G14" s="99"/>
    </row>
    <row r="15" spans="1:10" ht="42" thickBot="1">
      <c r="A15" s="2" t="s">
        <v>35</v>
      </c>
      <c r="B15" s="2" t="s">
        <v>74</v>
      </c>
      <c r="C15" s="99"/>
      <c r="D15" s="100" t="s">
        <v>640</v>
      </c>
      <c r="E15" s="102" t="s">
        <v>641</v>
      </c>
      <c r="F15" s="99"/>
      <c r="G15" s="99"/>
    </row>
    <row r="16" spans="1:10" ht="28.2" thickBot="1">
      <c r="A16" s="2" t="s">
        <v>42</v>
      </c>
      <c r="B16" s="2" t="s">
        <v>75</v>
      </c>
      <c r="C16" s="99"/>
      <c r="D16" s="100" t="s">
        <v>642</v>
      </c>
      <c r="E16" s="102" t="s">
        <v>643</v>
      </c>
      <c r="F16" s="99"/>
      <c r="G16" s="99"/>
    </row>
    <row r="17" spans="1:7" ht="42" thickBot="1">
      <c r="A17" s="2" t="s">
        <v>49</v>
      </c>
      <c r="B17" s="2" t="s">
        <v>76</v>
      </c>
      <c r="C17" s="99"/>
      <c r="D17" s="100" t="s">
        <v>801</v>
      </c>
      <c r="E17" s="102" t="s">
        <v>644</v>
      </c>
      <c r="F17" s="99"/>
      <c r="G17" s="99"/>
    </row>
    <row r="18" spans="1:7">
      <c r="A18" s="2" t="s">
        <v>56</v>
      </c>
      <c r="B18" s="2" t="s">
        <v>77</v>
      </c>
      <c r="C18" s="99"/>
      <c r="D18" s="99"/>
      <c r="E18" s="99"/>
      <c r="F18" s="99"/>
      <c r="G18" s="99"/>
    </row>
    <row r="19" spans="1:7">
      <c r="A19" s="2" t="s">
        <v>63</v>
      </c>
      <c r="B19" s="2" t="s">
        <v>78</v>
      </c>
      <c r="C19" s="99"/>
      <c r="D19" s="99"/>
      <c r="E19" s="99"/>
      <c r="F19" s="99"/>
      <c r="G19" s="99"/>
    </row>
    <row r="20" spans="1:7">
      <c r="C20" s="99"/>
      <c r="D20" s="99"/>
      <c r="E20" s="99"/>
      <c r="F20" s="99"/>
      <c r="G20" s="99"/>
    </row>
    <row r="21" spans="1:7">
      <c r="C21" s="99"/>
      <c r="D21" s="99" t="s">
        <v>807</v>
      </c>
      <c r="E21" s="99"/>
      <c r="F21" s="99"/>
      <c r="G21" s="99"/>
    </row>
    <row r="22" spans="1:7">
      <c r="C22" s="99"/>
      <c r="D22" s="99"/>
      <c r="E22" s="99"/>
      <c r="F22" s="99"/>
      <c r="G22" s="99"/>
    </row>
    <row r="23" spans="1:7">
      <c r="C23" s="99"/>
      <c r="D23" s="99"/>
      <c r="E23" s="99"/>
      <c r="F23" s="99"/>
      <c r="G23" s="99"/>
    </row>
    <row r="24" spans="1:7">
      <c r="C24" s="99"/>
      <c r="D24" s="99"/>
      <c r="E24" s="99"/>
      <c r="F24" s="99"/>
      <c r="G24" s="99"/>
    </row>
    <row r="25" spans="1:7">
      <c r="C25" s="99"/>
      <c r="D25" s="99"/>
      <c r="E25" s="99"/>
      <c r="F25" s="99"/>
      <c r="G25" s="99"/>
    </row>
    <row r="26" spans="1:7">
      <c r="C26" s="99"/>
      <c r="D26" s="99"/>
      <c r="E26" s="99"/>
      <c r="F26" s="99"/>
      <c r="G26" s="99"/>
    </row>
    <row r="27" spans="1:7">
      <c r="C27" s="99"/>
      <c r="D27" s="99"/>
      <c r="E27" s="99"/>
      <c r="F27" s="99"/>
      <c r="G27" s="99"/>
    </row>
    <row r="28" spans="1:7">
      <c r="C28" s="99"/>
      <c r="D28" s="99"/>
      <c r="E28" s="99"/>
      <c r="F28" s="99"/>
      <c r="G28" s="99"/>
    </row>
    <row r="29" spans="1:7">
      <c r="C29" s="99"/>
      <c r="D29" s="99"/>
      <c r="E29" s="99"/>
      <c r="F29" s="99"/>
      <c r="G29" s="99"/>
    </row>
    <row r="30" spans="1:7">
      <c r="C30" s="99"/>
      <c r="D30" s="99"/>
      <c r="E30" s="99"/>
      <c r="F30" s="99"/>
      <c r="G30" s="99"/>
    </row>
    <row r="31" spans="1:7">
      <c r="C31" s="99"/>
      <c r="D31" s="99"/>
      <c r="E31" s="99"/>
      <c r="F31" s="99"/>
      <c r="G31" s="99"/>
    </row>
    <row r="32" spans="1:7">
      <c r="C32" s="99"/>
      <c r="D32" s="99"/>
      <c r="E32" s="99"/>
      <c r="F32" s="99"/>
      <c r="G32" s="99"/>
    </row>
    <row r="33" spans="3:7">
      <c r="C33" s="99"/>
      <c r="D33" s="99"/>
      <c r="E33" s="99"/>
      <c r="F33" s="99"/>
      <c r="G33" s="99"/>
    </row>
    <row r="34" spans="3:7">
      <c r="C34" s="99"/>
      <c r="D34" s="99"/>
      <c r="E34" s="99"/>
      <c r="F34" s="99"/>
      <c r="G34" s="99"/>
    </row>
    <row r="35" spans="3:7">
      <c r="C35" s="99"/>
      <c r="D35" s="99"/>
      <c r="E35" s="99"/>
      <c r="F35" s="99"/>
      <c r="G35" s="99"/>
    </row>
    <row r="36" spans="3:7">
      <c r="C36" s="99"/>
      <c r="D36" s="99"/>
      <c r="E36" s="99"/>
      <c r="F36" s="99"/>
      <c r="G36" s="99"/>
    </row>
    <row r="37" spans="3:7">
      <c r="C37" s="99"/>
      <c r="D37" s="99"/>
      <c r="E37" s="99"/>
      <c r="F37" s="99"/>
      <c r="G37" s="99"/>
    </row>
    <row r="38" spans="3:7">
      <c r="C38" s="99"/>
      <c r="D38" s="99"/>
      <c r="E38" s="99"/>
      <c r="F38" s="99"/>
      <c r="G38" s="99"/>
    </row>
    <row r="39" spans="3:7">
      <c r="C39" s="99"/>
      <c r="D39" s="99"/>
      <c r="E39" s="99"/>
      <c r="F39" s="99"/>
      <c r="G39" s="99"/>
    </row>
    <row r="40" spans="3:7">
      <c r="C40" s="99"/>
      <c r="D40" s="99"/>
      <c r="E40" s="99"/>
      <c r="F40" s="99"/>
      <c r="G40" s="99"/>
    </row>
    <row r="41" spans="3:7">
      <c r="C41" s="99"/>
      <c r="D41" s="99"/>
      <c r="E41" s="99"/>
      <c r="F41" s="99"/>
      <c r="G41" s="99"/>
    </row>
  </sheetData>
  <sheetProtection algorithmName="SHA-512" hashValue="fOdQUmlOZJ3wp4/syw52xsyPNOEpsoM/otjKIN+SYe5E0aVqV5XDIC25XcDrW5y0f1VbFv3hI1LwpV8/6J7eFg==" saltValue="bKctqGanfoKr9YVqg6liAg==" spinCount="100000" sheet="1" objects="1" scenarios="1"/>
  <mergeCells count="1">
    <mergeCell ref="A1:I3"/>
  </mergeCells>
  <conditionalFormatting sqref="H5:H10">
    <cfRule type="colorScale" priority="1">
      <colorScale>
        <cfvo type="min"/>
        <cfvo type="percentile" val="50"/>
        <cfvo type="max"/>
        <color rgb="FFF4CCCC"/>
        <color rgb="FFFFF2CC"/>
        <color rgb="FFD9EAD3"/>
      </colorScale>
    </cfRule>
  </conditionalFormatting>
  <dataValidations count="1">
    <dataValidation type="whole" showErrorMessage="1" error="يرجى ادخال رقم من 1 الى 5" sqref="H5:H10">
      <formula1>1</formula1>
      <formula2>5</formula2>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rightToLeft="1" topLeftCell="D13" workbookViewId="0">
      <selection activeCell="G20" sqref="G20"/>
    </sheetView>
  </sheetViews>
  <sheetFormatPr defaultRowHeight="13.8"/>
  <cols>
    <col min="1" max="1" width="24" customWidth="1"/>
    <col min="2" max="2" width="38" customWidth="1"/>
    <col min="3" max="6" width="32" customWidth="1"/>
    <col min="7" max="7" width="34" customWidth="1"/>
    <col min="8" max="8" width="10" customWidth="1"/>
    <col min="9" max="9" width="13.69921875" customWidth="1"/>
    <col min="10" max="10" width="15.5" customWidth="1"/>
    <col min="11" max="11" width="25.796875" customWidth="1"/>
  </cols>
  <sheetData>
    <row r="1" spans="1:9" s="107" customFormat="1">
      <c r="A1" s="150"/>
      <c r="B1" s="150"/>
      <c r="C1" s="150"/>
      <c r="D1" s="150"/>
      <c r="E1" s="150"/>
      <c r="F1" s="150"/>
      <c r="G1" s="150"/>
      <c r="H1" s="150"/>
      <c r="I1" s="150"/>
    </row>
    <row r="2" spans="1:9" s="107" customFormat="1">
      <c r="A2" s="150"/>
      <c r="B2" s="150"/>
      <c r="C2" s="150"/>
      <c r="D2" s="150"/>
      <c r="E2" s="150"/>
      <c r="F2" s="150"/>
      <c r="G2" s="150"/>
      <c r="H2" s="150"/>
      <c r="I2" s="150"/>
    </row>
    <row r="3" spans="1:9" s="107" customFormat="1">
      <c r="A3" s="150"/>
      <c r="B3" s="150"/>
      <c r="C3" s="150"/>
      <c r="D3" s="150"/>
      <c r="E3" s="150"/>
      <c r="F3" s="150"/>
      <c r="G3" s="150"/>
      <c r="H3" s="150"/>
      <c r="I3" s="150"/>
    </row>
    <row r="4" spans="1:9" s="107" customFormat="1">
      <c r="A4" s="151"/>
      <c r="B4" s="151"/>
      <c r="C4" s="151"/>
      <c r="D4" s="151"/>
      <c r="E4" s="151"/>
      <c r="F4" s="151"/>
      <c r="G4" s="151"/>
      <c r="H4" s="151"/>
      <c r="I4" s="151"/>
    </row>
    <row r="5" spans="1:9" ht="31.95" customHeight="1">
      <c r="A5" s="70" t="s">
        <v>79</v>
      </c>
      <c r="B5" s="70" t="s">
        <v>22</v>
      </c>
      <c r="C5" s="70" t="s">
        <v>23</v>
      </c>
      <c r="D5" s="70" t="s">
        <v>24</v>
      </c>
      <c r="E5" s="70" t="s">
        <v>25</v>
      </c>
      <c r="F5" s="70" t="s">
        <v>26</v>
      </c>
      <c r="G5" s="70" t="s">
        <v>27</v>
      </c>
      <c r="H5" s="70" t="s">
        <v>0</v>
      </c>
      <c r="I5" s="70" t="s">
        <v>620</v>
      </c>
    </row>
    <row r="6" spans="1:9" ht="55.95" customHeight="1">
      <c r="A6" s="72" t="s">
        <v>80</v>
      </c>
      <c r="B6" s="72" t="s">
        <v>81</v>
      </c>
      <c r="C6" s="72" t="s">
        <v>82</v>
      </c>
      <c r="D6" s="72" t="s">
        <v>83</v>
      </c>
      <c r="E6" s="72" t="s">
        <v>84</v>
      </c>
      <c r="F6" s="72" t="s">
        <v>85</v>
      </c>
      <c r="G6" s="72" t="s">
        <v>86</v>
      </c>
      <c r="H6" s="203">
        <v>1</v>
      </c>
      <c r="I6" s="66"/>
    </row>
    <row r="7" spans="1:9" ht="55.95" customHeight="1">
      <c r="A7" s="72" t="s">
        <v>87</v>
      </c>
      <c r="B7" s="72" t="s">
        <v>88</v>
      </c>
      <c r="C7" s="72" t="s">
        <v>89</v>
      </c>
      <c r="D7" s="72" t="s">
        <v>90</v>
      </c>
      <c r="E7" s="72" t="s">
        <v>91</v>
      </c>
      <c r="F7" s="72" t="s">
        <v>92</v>
      </c>
      <c r="G7" s="72" t="s">
        <v>93</v>
      </c>
      <c r="H7" s="203">
        <v>1</v>
      </c>
      <c r="I7" s="66"/>
    </row>
    <row r="8" spans="1:9" ht="55.95" customHeight="1">
      <c r="A8" s="72" t="s">
        <v>94</v>
      </c>
      <c r="B8" s="72" t="s">
        <v>95</v>
      </c>
      <c r="C8" s="72" t="s">
        <v>96</v>
      </c>
      <c r="D8" s="72" t="s">
        <v>97</v>
      </c>
      <c r="E8" s="72" t="s">
        <v>98</v>
      </c>
      <c r="F8" s="72" t="s">
        <v>99</v>
      </c>
      <c r="G8" s="72" t="s">
        <v>100</v>
      </c>
      <c r="H8" s="203">
        <v>1</v>
      </c>
      <c r="I8" s="66"/>
    </row>
    <row r="9" spans="1:9" ht="55.95" customHeight="1">
      <c r="A9" s="72" t="s">
        <v>101</v>
      </c>
      <c r="B9" s="72" t="s">
        <v>102</v>
      </c>
      <c r="C9" s="72" t="s">
        <v>103</v>
      </c>
      <c r="D9" s="72" t="s">
        <v>104</v>
      </c>
      <c r="E9" s="72" t="s">
        <v>105</v>
      </c>
      <c r="F9" s="72" t="s">
        <v>106</v>
      </c>
      <c r="G9" s="72" t="s">
        <v>107</v>
      </c>
      <c r="H9" s="203">
        <v>1</v>
      </c>
      <c r="I9" s="66"/>
    </row>
    <row r="10" spans="1:9" ht="55.95" customHeight="1">
      <c r="A10" s="72" t="s">
        <v>108</v>
      </c>
      <c r="B10" s="72" t="s">
        <v>109</v>
      </c>
      <c r="C10" s="72" t="s">
        <v>110</v>
      </c>
      <c r="D10" s="72" t="s">
        <v>111</v>
      </c>
      <c r="E10" s="72" t="s">
        <v>112</v>
      </c>
      <c r="F10" s="72" t="s">
        <v>113</v>
      </c>
      <c r="G10" s="72" t="s">
        <v>114</v>
      </c>
      <c r="H10" s="203">
        <v>1</v>
      </c>
      <c r="I10" s="66"/>
    </row>
    <row r="11" spans="1:9" ht="55.95" customHeight="1">
      <c r="A11" s="72" t="s">
        <v>115</v>
      </c>
      <c r="B11" s="72" t="s">
        <v>116</v>
      </c>
      <c r="C11" s="72" t="s">
        <v>117</v>
      </c>
      <c r="D11" s="72" t="s">
        <v>118</v>
      </c>
      <c r="E11" s="72" t="s">
        <v>119</v>
      </c>
      <c r="F11" s="72" t="s">
        <v>120</v>
      </c>
      <c r="G11" s="72" t="s">
        <v>121</v>
      </c>
      <c r="H11" s="203">
        <v>1</v>
      </c>
      <c r="I11" s="66"/>
    </row>
    <row r="12" spans="1:9" ht="55.95" customHeight="1">
      <c r="A12" s="72" t="s">
        <v>122</v>
      </c>
      <c r="B12" s="72" t="s">
        <v>123</v>
      </c>
      <c r="C12" s="72" t="s">
        <v>124</v>
      </c>
      <c r="D12" s="72" t="s">
        <v>125</v>
      </c>
      <c r="E12" s="72" t="s">
        <v>126</v>
      </c>
      <c r="F12" s="72" t="s">
        <v>127</v>
      </c>
      <c r="G12" s="72" t="s">
        <v>128</v>
      </c>
      <c r="H12" s="203">
        <v>1</v>
      </c>
      <c r="I12" s="66"/>
    </row>
    <row r="13" spans="1:9" ht="55.95" customHeight="1">
      <c r="A13" s="72" t="s">
        <v>129</v>
      </c>
      <c r="B13" s="72" t="s">
        <v>130</v>
      </c>
      <c r="C13" s="72" t="s">
        <v>131</v>
      </c>
      <c r="D13" s="72" t="s">
        <v>132</v>
      </c>
      <c r="E13" s="72" t="s">
        <v>133</v>
      </c>
      <c r="F13" s="72" t="s">
        <v>134</v>
      </c>
      <c r="G13" s="72" t="s">
        <v>135</v>
      </c>
      <c r="H13" s="203">
        <v>1</v>
      </c>
      <c r="I13" s="66"/>
    </row>
    <row r="14" spans="1:9" ht="55.95" customHeight="1">
      <c r="A14" s="72" t="s">
        <v>136</v>
      </c>
      <c r="B14" s="72" t="s">
        <v>137</v>
      </c>
      <c r="C14" s="72" t="s">
        <v>138</v>
      </c>
      <c r="D14" s="72" t="s">
        <v>139</v>
      </c>
      <c r="E14" s="72" t="s">
        <v>140</v>
      </c>
      <c r="F14" s="72" t="s">
        <v>141</v>
      </c>
      <c r="G14" s="72" t="s">
        <v>142</v>
      </c>
      <c r="H14" s="203">
        <v>1</v>
      </c>
      <c r="I14" s="66"/>
    </row>
    <row r="15" spans="1:9">
      <c r="A15" s="66"/>
      <c r="B15" s="66"/>
      <c r="C15" s="66"/>
      <c r="D15" s="66"/>
      <c r="E15" s="66"/>
      <c r="F15" s="66"/>
      <c r="G15" s="66" t="s">
        <v>70</v>
      </c>
      <c r="H15" s="112">
        <f>AVERAGE(H6:H14)</f>
        <v>1</v>
      </c>
      <c r="I15" s="112">
        <f>H15*20</f>
        <v>20</v>
      </c>
    </row>
    <row r="17" spans="1:5">
      <c r="A17" s="1" t="s">
        <v>71</v>
      </c>
      <c r="B17" s="1" t="s">
        <v>72</v>
      </c>
      <c r="D17" s="70" t="s">
        <v>637</v>
      </c>
      <c r="E17" s="70" t="s">
        <v>638</v>
      </c>
    </row>
    <row r="18" spans="1:5" ht="27.6">
      <c r="A18" s="2" t="s">
        <v>80</v>
      </c>
      <c r="B18" s="2" t="s">
        <v>143</v>
      </c>
      <c r="D18" s="103" t="s">
        <v>645</v>
      </c>
      <c r="E18" s="104" t="s">
        <v>646</v>
      </c>
    </row>
    <row r="19" spans="1:5" ht="27.6">
      <c r="A19" s="2" t="s">
        <v>87</v>
      </c>
      <c r="B19" s="2" t="s">
        <v>144</v>
      </c>
      <c r="D19" s="103" t="s">
        <v>647</v>
      </c>
      <c r="E19" s="104" t="s">
        <v>648</v>
      </c>
    </row>
    <row r="20" spans="1:5" ht="27.6">
      <c r="A20" s="2" t="s">
        <v>94</v>
      </c>
      <c r="B20" s="2" t="s">
        <v>145</v>
      </c>
      <c r="D20" s="103" t="s">
        <v>115</v>
      </c>
      <c r="E20" s="104" t="s">
        <v>649</v>
      </c>
    </row>
    <row r="21" spans="1:5" ht="27.6">
      <c r="A21" s="2" t="s">
        <v>101</v>
      </c>
      <c r="B21" s="2" t="s">
        <v>146</v>
      </c>
      <c r="D21" s="103" t="s">
        <v>129</v>
      </c>
      <c r="E21" s="104" t="s">
        <v>650</v>
      </c>
    </row>
    <row r="22" spans="1:5" ht="27.6">
      <c r="A22" s="2" t="s">
        <v>108</v>
      </c>
      <c r="B22" s="2" t="s">
        <v>147</v>
      </c>
      <c r="D22" s="103" t="s">
        <v>651</v>
      </c>
      <c r="E22" s="104" t="s">
        <v>652</v>
      </c>
    </row>
    <row r="23" spans="1:5">
      <c r="A23" s="2" t="s">
        <v>115</v>
      </c>
      <c r="B23" s="2" t="s">
        <v>148</v>
      </c>
    </row>
    <row r="24" spans="1:5">
      <c r="A24" s="2" t="s">
        <v>122</v>
      </c>
      <c r="B24" s="2" t="s">
        <v>149</v>
      </c>
    </row>
    <row r="25" spans="1:5">
      <c r="A25" s="2" t="s">
        <v>129</v>
      </c>
      <c r="B25" s="2" t="s">
        <v>150</v>
      </c>
    </row>
    <row r="26" spans="1:5" ht="27.6">
      <c r="A26" s="2" t="s">
        <v>136</v>
      </c>
      <c r="B26" s="2" t="s">
        <v>151</v>
      </c>
    </row>
  </sheetData>
  <sheetProtection algorithmName="SHA-512" hashValue="cqrYfkejqjvfosd9Hf1Fx9keUp4Q2GfDxSqN2sOIsVccirC6fdbWNGhRjLN66cQxsNze4fU0mysujYjl+PZjXw==" saltValue="xaDVmGQEiVb/q+AJLw4tFQ==" spinCount="100000" sheet="1" objects="1" scenarios="1"/>
  <mergeCells count="1">
    <mergeCell ref="A1:I4"/>
  </mergeCells>
  <conditionalFormatting sqref="H6:H14">
    <cfRule type="colorScale" priority="1">
      <colorScale>
        <cfvo type="min"/>
        <cfvo type="percentile" val="50"/>
        <cfvo type="max"/>
        <color rgb="FFF4CCCC"/>
        <color rgb="FFFFF2CC"/>
        <color rgb="FFD9EAD3"/>
      </colorScale>
    </cfRule>
  </conditionalFormatting>
  <dataValidations count="1">
    <dataValidation type="whole" showErrorMessage="1" error="يرجى ادخال رقم من 1 الى 5" sqref="H6:H14">
      <formula1>1</formula1>
      <formula2>5</formula2>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rightToLeft="1" topLeftCell="C4" zoomScale="90" zoomScaleNormal="90" workbookViewId="0">
      <selection activeCell="G8" sqref="G8"/>
    </sheetView>
  </sheetViews>
  <sheetFormatPr defaultRowHeight="13.8"/>
  <cols>
    <col min="1" max="1" width="24" customWidth="1"/>
    <col min="2" max="2" width="38" customWidth="1"/>
    <col min="3" max="6" width="32" customWidth="1"/>
    <col min="7" max="7" width="34" customWidth="1"/>
    <col min="8" max="8" width="13.09765625" customWidth="1"/>
    <col min="9" max="9" width="11" customWidth="1"/>
    <col min="10" max="10" width="19.5" customWidth="1"/>
    <col min="11" max="11" width="22.8984375" customWidth="1"/>
  </cols>
  <sheetData>
    <row r="1" spans="1:9" s="107" customFormat="1">
      <c r="B1" s="150"/>
      <c r="C1" s="150"/>
      <c r="D1" s="150"/>
      <c r="E1" s="150"/>
      <c r="F1" s="150"/>
      <c r="G1" s="150"/>
      <c r="H1" s="150"/>
      <c r="I1" s="150"/>
    </row>
    <row r="2" spans="1:9" s="107" customFormat="1">
      <c r="B2" s="150"/>
      <c r="C2" s="150"/>
      <c r="D2" s="150"/>
      <c r="E2" s="150"/>
      <c r="F2" s="150"/>
      <c r="G2" s="150"/>
      <c r="H2" s="150"/>
      <c r="I2" s="150"/>
    </row>
    <row r="3" spans="1:9" s="107" customFormat="1">
      <c r="B3" s="150"/>
      <c r="C3" s="150"/>
      <c r="D3" s="150"/>
      <c r="E3" s="150"/>
      <c r="F3" s="150"/>
      <c r="G3" s="150"/>
      <c r="H3" s="150"/>
      <c r="I3" s="150"/>
    </row>
    <row r="4" spans="1:9" s="107" customFormat="1">
      <c r="B4" s="151"/>
      <c r="C4" s="151"/>
      <c r="D4" s="151"/>
      <c r="E4" s="151"/>
      <c r="F4" s="151"/>
      <c r="G4" s="151"/>
      <c r="H4" s="151"/>
      <c r="I4" s="151"/>
    </row>
    <row r="5" spans="1:9" ht="31.95" customHeight="1">
      <c r="A5" s="70" t="s">
        <v>152</v>
      </c>
      <c r="B5" s="70" t="s">
        <v>22</v>
      </c>
      <c r="C5" s="70" t="s">
        <v>23</v>
      </c>
      <c r="D5" s="70" t="s">
        <v>24</v>
      </c>
      <c r="E5" s="70" t="s">
        <v>25</v>
      </c>
      <c r="F5" s="70" t="s">
        <v>26</v>
      </c>
      <c r="G5" s="70" t="s">
        <v>27</v>
      </c>
      <c r="H5" s="70" t="s">
        <v>0</v>
      </c>
      <c r="I5" s="70" t="s">
        <v>620</v>
      </c>
    </row>
    <row r="6" spans="1:9" ht="55.95" customHeight="1">
      <c r="A6" s="72" t="s">
        <v>153</v>
      </c>
      <c r="B6" s="72" t="s">
        <v>154</v>
      </c>
      <c r="C6" s="72" t="s">
        <v>155</v>
      </c>
      <c r="D6" s="72" t="s">
        <v>156</v>
      </c>
      <c r="E6" s="72" t="s">
        <v>157</v>
      </c>
      <c r="F6" s="72" t="s">
        <v>158</v>
      </c>
      <c r="G6" s="72" t="s">
        <v>159</v>
      </c>
      <c r="H6" s="203">
        <v>1</v>
      </c>
      <c r="I6" s="66"/>
    </row>
    <row r="7" spans="1:9" ht="55.95" customHeight="1">
      <c r="A7" s="72" t="s">
        <v>160</v>
      </c>
      <c r="B7" s="72" t="s">
        <v>161</v>
      </c>
      <c r="C7" s="72" t="s">
        <v>162</v>
      </c>
      <c r="D7" s="72" t="s">
        <v>163</v>
      </c>
      <c r="E7" s="72" t="s">
        <v>164</v>
      </c>
      <c r="F7" s="72" t="s">
        <v>165</v>
      </c>
      <c r="G7" s="72" t="s">
        <v>166</v>
      </c>
      <c r="H7" s="203">
        <v>1</v>
      </c>
      <c r="I7" s="66"/>
    </row>
    <row r="8" spans="1:9" ht="55.95" customHeight="1">
      <c r="A8" s="72" t="s">
        <v>167</v>
      </c>
      <c r="B8" s="72" t="s">
        <v>168</v>
      </c>
      <c r="C8" s="72" t="s">
        <v>169</v>
      </c>
      <c r="D8" s="72" t="s">
        <v>170</v>
      </c>
      <c r="E8" s="72" t="s">
        <v>171</v>
      </c>
      <c r="F8" s="72" t="s">
        <v>172</v>
      </c>
      <c r="G8" s="72" t="s">
        <v>173</v>
      </c>
      <c r="H8" s="203">
        <v>1</v>
      </c>
      <c r="I8" s="66"/>
    </row>
    <row r="9" spans="1:9" ht="55.95" customHeight="1">
      <c r="A9" s="72" t="s">
        <v>174</v>
      </c>
      <c r="B9" s="72" t="s">
        <v>175</v>
      </c>
      <c r="C9" s="72" t="s">
        <v>176</v>
      </c>
      <c r="D9" s="72" t="s">
        <v>177</v>
      </c>
      <c r="E9" s="72" t="s">
        <v>178</v>
      </c>
      <c r="F9" s="72" t="s">
        <v>179</v>
      </c>
      <c r="G9" s="72" t="s">
        <v>180</v>
      </c>
      <c r="H9" s="203">
        <v>1</v>
      </c>
      <c r="I9" s="66"/>
    </row>
    <row r="10" spans="1:9" ht="55.95" customHeight="1">
      <c r="A10" s="72" t="s">
        <v>181</v>
      </c>
      <c r="B10" s="72" t="s">
        <v>182</v>
      </c>
      <c r="C10" s="72" t="s">
        <v>183</v>
      </c>
      <c r="D10" s="72" t="s">
        <v>184</v>
      </c>
      <c r="E10" s="72" t="s">
        <v>185</v>
      </c>
      <c r="F10" s="72" t="s">
        <v>186</v>
      </c>
      <c r="G10" s="72" t="s">
        <v>187</v>
      </c>
      <c r="H10" s="203">
        <v>1</v>
      </c>
      <c r="I10" s="66"/>
    </row>
    <row r="11" spans="1:9" ht="55.95" customHeight="1">
      <c r="A11" s="72" t="s">
        <v>188</v>
      </c>
      <c r="B11" s="72" t="s">
        <v>189</v>
      </c>
      <c r="C11" s="72" t="s">
        <v>190</v>
      </c>
      <c r="D11" s="72" t="s">
        <v>191</v>
      </c>
      <c r="E11" s="72" t="s">
        <v>192</v>
      </c>
      <c r="F11" s="72" t="s">
        <v>193</v>
      </c>
      <c r="G11" s="72" t="s">
        <v>194</v>
      </c>
      <c r="H11" s="203">
        <v>1</v>
      </c>
      <c r="I11" s="72"/>
    </row>
    <row r="12" spans="1:9" ht="55.95" customHeight="1">
      <c r="A12" s="72" t="s">
        <v>195</v>
      </c>
      <c r="B12" s="72" t="s">
        <v>196</v>
      </c>
      <c r="C12" s="72" t="s">
        <v>197</v>
      </c>
      <c r="D12" s="72" t="s">
        <v>198</v>
      </c>
      <c r="E12" s="72" t="s">
        <v>199</v>
      </c>
      <c r="F12" s="72" t="s">
        <v>200</v>
      </c>
      <c r="G12" s="72" t="s">
        <v>201</v>
      </c>
      <c r="H12" s="203">
        <v>1</v>
      </c>
      <c r="I12" s="66"/>
    </row>
    <row r="13" spans="1:9">
      <c r="A13" s="66"/>
      <c r="B13" s="66"/>
      <c r="C13" s="66"/>
      <c r="D13" s="66"/>
      <c r="E13" s="66"/>
      <c r="F13" s="66"/>
      <c r="G13" s="66" t="s">
        <v>70</v>
      </c>
      <c r="H13" s="112">
        <f>(H6+H7+H8+H9+H10+H11+H12)/7</f>
        <v>1</v>
      </c>
      <c r="I13" s="112">
        <f>H13*20</f>
        <v>20</v>
      </c>
    </row>
    <row r="15" spans="1:9">
      <c r="A15" s="1" t="s">
        <v>71</v>
      </c>
      <c r="B15" s="1" t="s">
        <v>72</v>
      </c>
      <c r="D15" s="70" t="s">
        <v>637</v>
      </c>
      <c r="E15" s="70" t="s">
        <v>638</v>
      </c>
    </row>
    <row r="16" spans="1:9" ht="27.6">
      <c r="A16" s="2" t="s">
        <v>153</v>
      </c>
      <c r="B16" s="2" t="s">
        <v>202</v>
      </c>
      <c r="D16" s="103" t="s">
        <v>653</v>
      </c>
      <c r="E16" s="104" t="s">
        <v>654</v>
      </c>
    </row>
    <row r="17" spans="1:5" ht="27.6">
      <c r="A17" s="2" t="s">
        <v>160</v>
      </c>
      <c r="B17" s="2" t="s">
        <v>203</v>
      </c>
      <c r="D17" s="103" t="s">
        <v>655</v>
      </c>
      <c r="E17" s="104" t="s">
        <v>656</v>
      </c>
    </row>
    <row r="18" spans="1:5" ht="27.6">
      <c r="A18" s="2" t="s">
        <v>167</v>
      </c>
      <c r="B18" s="2" t="s">
        <v>204</v>
      </c>
      <c r="D18" s="103" t="s">
        <v>657</v>
      </c>
      <c r="E18" s="104" t="s">
        <v>658</v>
      </c>
    </row>
    <row r="19" spans="1:5" ht="27.6">
      <c r="A19" s="2" t="s">
        <v>174</v>
      </c>
      <c r="B19" s="2" t="s">
        <v>205</v>
      </c>
      <c r="D19" s="103" t="s">
        <v>659</v>
      </c>
      <c r="E19" s="104" t="s">
        <v>660</v>
      </c>
    </row>
    <row r="20" spans="1:5" ht="27.6">
      <c r="A20" s="2" t="s">
        <v>181</v>
      </c>
      <c r="B20" s="2" t="s">
        <v>206</v>
      </c>
      <c r="D20" s="103" t="s">
        <v>661</v>
      </c>
      <c r="E20" s="104" t="s">
        <v>662</v>
      </c>
    </row>
    <row r="21" spans="1:5">
      <c r="A21" s="2" t="s">
        <v>188</v>
      </c>
      <c r="B21" s="2" t="s">
        <v>207</v>
      </c>
    </row>
    <row r="22" spans="1:5">
      <c r="A22" s="2" t="s">
        <v>195</v>
      </c>
      <c r="B22" s="2" t="s">
        <v>208</v>
      </c>
    </row>
  </sheetData>
  <sheetProtection algorithmName="SHA-512" hashValue="Z22DcgzRVjcfCypidr/9mMOASuBRrG1okYFRyrq++RgR6my99B/1sJOj/jlro2CtlnjSI8Wom2BdzGIPVULtNQ==" saltValue="6lzavvwdFLaS2uog3Q2yfw==" spinCount="100000" sheet="1" objects="1" scenarios="1"/>
  <mergeCells count="1">
    <mergeCell ref="B1:I4"/>
  </mergeCells>
  <conditionalFormatting sqref="H6:H12">
    <cfRule type="colorScale" priority="1">
      <colorScale>
        <cfvo type="min"/>
        <cfvo type="percentile" val="50"/>
        <cfvo type="max"/>
        <color rgb="FFF4CCCC"/>
        <color rgb="FFFFF2CC"/>
        <color rgb="FFD9EAD3"/>
      </colorScale>
    </cfRule>
  </conditionalFormatting>
  <dataValidations count="1">
    <dataValidation type="whole" showErrorMessage="1" error="يرجى ادخال رقم من 1 الى 5" sqref="H6:H12">
      <formula1>1</formula1>
      <formula2>5</formula2>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rightToLeft="1" topLeftCell="D3" workbookViewId="0">
      <selection activeCell="G9" sqref="G9"/>
    </sheetView>
  </sheetViews>
  <sheetFormatPr defaultRowHeight="13.8"/>
  <cols>
    <col min="1" max="1" width="18.8984375" customWidth="1"/>
    <col min="2" max="2" width="33.69921875" customWidth="1"/>
    <col min="3" max="6" width="32" customWidth="1"/>
    <col min="7" max="7" width="34" customWidth="1"/>
    <col min="8" max="8" width="14.796875" customWidth="1"/>
    <col min="10" max="10" width="18.796875" customWidth="1"/>
    <col min="11" max="11" width="22.19921875" customWidth="1"/>
  </cols>
  <sheetData>
    <row r="1" spans="1:9" s="107" customFormat="1">
      <c r="A1" s="150"/>
      <c r="B1" s="150"/>
      <c r="C1" s="150"/>
      <c r="D1" s="150"/>
      <c r="E1" s="150"/>
      <c r="F1" s="150"/>
      <c r="G1" s="150"/>
      <c r="H1" s="150"/>
      <c r="I1" s="150"/>
    </row>
    <row r="2" spans="1:9" s="107" customFormat="1">
      <c r="A2" s="150"/>
      <c r="B2" s="150"/>
      <c r="C2" s="150"/>
      <c r="D2" s="150"/>
      <c r="E2" s="150"/>
      <c r="F2" s="150"/>
      <c r="G2" s="150"/>
      <c r="H2" s="150"/>
      <c r="I2" s="150"/>
    </row>
    <row r="3" spans="1:9" s="107" customFormat="1">
      <c r="A3" s="150"/>
      <c r="B3" s="150"/>
      <c r="C3" s="150"/>
      <c r="D3" s="150"/>
      <c r="E3" s="150"/>
      <c r="F3" s="150"/>
      <c r="G3" s="150"/>
      <c r="H3" s="150"/>
      <c r="I3" s="150"/>
    </row>
    <row r="4" spans="1:9" s="107" customFormat="1">
      <c r="A4" s="151"/>
      <c r="B4" s="151"/>
      <c r="C4" s="151"/>
      <c r="D4" s="151"/>
      <c r="E4" s="151"/>
      <c r="F4" s="151"/>
      <c r="G4" s="151"/>
      <c r="H4" s="151"/>
      <c r="I4" s="151"/>
    </row>
    <row r="5" spans="1:9" ht="31.95" customHeight="1">
      <c r="A5" s="70" t="s">
        <v>209</v>
      </c>
      <c r="B5" s="70" t="s">
        <v>22</v>
      </c>
      <c r="C5" s="70" t="s">
        <v>23</v>
      </c>
      <c r="D5" s="70" t="s">
        <v>24</v>
      </c>
      <c r="E5" s="70" t="s">
        <v>25</v>
      </c>
      <c r="F5" s="70" t="s">
        <v>26</v>
      </c>
      <c r="G5" s="70" t="s">
        <v>27</v>
      </c>
      <c r="H5" s="70" t="s">
        <v>0</v>
      </c>
      <c r="I5" s="70" t="s">
        <v>620</v>
      </c>
    </row>
    <row r="6" spans="1:9" ht="55.95" customHeight="1">
      <c r="A6" s="72" t="s">
        <v>210</v>
      </c>
      <c r="B6" s="72" t="s">
        <v>211</v>
      </c>
      <c r="C6" s="72" t="s">
        <v>212</v>
      </c>
      <c r="D6" s="72" t="s">
        <v>213</v>
      </c>
      <c r="E6" s="72" t="s">
        <v>214</v>
      </c>
      <c r="F6" s="72" t="s">
        <v>215</v>
      </c>
      <c r="G6" s="72" t="s">
        <v>216</v>
      </c>
      <c r="H6" s="203">
        <v>1</v>
      </c>
      <c r="I6" s="66"/>
    </row>
    <row r="7" spans="1:9" ht="55.95" customHeight="1">
      <c r="A7" s="72" t="s">
        <v>217</v>
      </c>
      <c r="B7" s="72" t="s">
        <v>218</v>
      </c>
      <c r="C7" s="72" t="s">
        <v>219</v>
      </c>
      <c r="D7" s="72" t="s">
        <v>220</v>
      </c>
      <c r="E7" s="72" t="s">
        <v>221</v>
      </c>
      <c r="F7" s="72" t="s">
        <v>222</v>
      </c>
      <c r="G7" s="72" t="s">
        <v>223</v>
      </c>
      <c r="H7" s="203">
        <v>1</v>
      </c>
      <c r="I7" s="66"/>
    </row>
    <row r="8" spans="1:9" ht="55.95" customHeight="1">
      <c r="A8" s="72" t="s">
        <v>224</v>
      </c>
      <c r="B8" s="72" t="s">
        <v>225</v>
      </c>
      <c r="C8" s="72" t="s">
        <v>226</v>
      </c>
      <c r="D8" s="72" t="s">
        <v>227</v>
      </c>
      <c r="E8" s="72" t="s">
        <v>228</v>
      </c>
      <c r="F8" s="72" t="s">
        <v>229</v>
      </c>
      <c r="G8" s="72" t="s">
        <v>230</v>
      </c>
      <c r="H8" s="203">
        <v>1</v>
      </c>
      <c r="I8" s="66"/>
    </row>
    <row r="9" spans="1:9" ht="55.95" customHeight="1">
      <c r="A9" s="72" t="s">
        <v>231</v>
      </c>
      <c r="B9" s="72" t="s">
        <v>232</v>
      </c>
      <c r="C9" s="72" t="s">
        <v>233</v>
      </c>
      <c r="D9" s="72" t="s">
        <v>234</v>
      </c>
      <c r="E9" s="72" t="s">
        <v>235</v>
      </c>
      <c r="F9" s="72" t="s">
        <v>236</v>
      </c>
      <c r="G9" s="72" t="s">
        <v>237</v>
      </c>
      <c r="H9" s="203">
        <v>1</v>
      </c>
      <c r="I9" s="66"/>
    </row>
    <row r="10" spans="1:9" ht="55.95" customHeight="1">
      <c r="A10" s="72" t="s">
        <v>238</v>
      </c>
      <c r="B10" s="72" t="s">
        <v>239</v>
      </c>
      <c r="C10" s="72" t="s">
        <v>240</v>
      </c>
      <c r="D10" s="72" t="s">
        <v>241</v>
      </c>
      <c r="E10" s="72" t="s">
        <v>242</v>
      </c>
      <c r="F10" s="72" t="s">
        <v>243</v>
      </c>
      <c r="G10" s="72" t="s">
        <v>244</v>
      </c>
      <c r="H10" s="203">
        <v>1</v>
      </c>
      <c r="I10" s="66"/>
    </row>
    <row r="11" spans="1:9" ht="55.95" customHeight="1">
      <c r="A11" s="72" t="s">
        <v>245</v>
      </c>
      <c r="B11" s="72" t="s">
        <v>246</v>
      </c>
      <c r="C11" s="72" t="s">
        <v>247</v>
      </c>
      <c r="D11" s="72" t="s">
        <v>248</v>
      </c>
      <c r="E11" s="72" t="s">
        <v>249</v>
      </c>
      <c r="F11" s="72" t="s">
        <v>250</v>
      </c>
      <c r="G11" s="72" t="s">
        <v>251</v>
      </c>
      <c r="H11" s="203">
        <v>1</v>
      </c>
      <c r="I11" s="66"/>
    </row>
    <row r="12" spans="1:9">
      <c r="A12" s="66"/>
      <c r="B12" s="66"/>
      <c r="C12" s="66"/>
      <c r="D12" s="66"/>
      <c r="E12" s="66"/>
      <c r="F12" s="66"/>
      <c r="G12" s="66" t="s">
        <v>70</v>
      </c>
      <c r="H12" s="112">
        <f>(H6+H7+H8+H9+H10+H11)/6</f>
        <v>1</v>
      </c>
      <c r="I12" s="112">
        <f>H12*20</f>
        <v>20</v>
      </c>
    </row>
    <row r="14" spans="1:9">
      <c r="A14" s="1" t="s">
        <v>71</v>
      </c>
      <c r="B14" s="1" t="s">
        <v>72</v>
      </c>
      <c r="D14" s="70" t="s">
        <v>663</v>
      </c>
      <c r="E14" s="70" t="s">
        <v>638</v>
      </c>
    </row>
    <row r="15" spans="1:9" ht="27.6">
      <c r="A15" s="2" t="s">
        <v>210</v>
      </c>
      <c r="B15" s="2" t="s">
        <v>252</v>
      </c>
      <c r="D15" s="105" t="s">
        <v>210</v>
      </c>
      <c r="E15" s="106" t="s">
        <v>664</v>
      </c>
    </row>
    <row r="16" spans="1:9" ht="27.6">
      <c r="A16" s="2" t="s">
        <v>217</v>
      </c>
      <c r="B16" s="2" t="s">
        <v>253</v>
      </c>
      <c r="D16" s="105" t="s">
        <v>217</v>
      </c>
      <c r="E16" s="106" t="s">
        <v>665</v>
      </c>
    </row>
    <row r="17" spans="1:5" ht="27.6">
      <c r="A17" s="2" t="s">
        <v>224</v>
      </c>
      <c r="B17" s="2" t="s">
        <v>254</v>
      </c>
      <c r="D17" s="105" t="s">
        <v>666</v>
      </c>
      <c r="E17" s="106" t="s">
        <v>667</v>
      </c>
    </row>
    <row r="18" spans="1:5" ht="27.6">
      <c r="A18" s="2" t="s">
        <v>231</v>
      </c>
      <c r="B18" s="2" t="s">
        <v>255</v>
      </c>
      <c r="D18" s="105" t="s">
        <v>668</v>
      </c>
      <c r="E18" s="106" t="s">
        <v>669</v>
      </c>
    </row>
    <row r="19" spans="1:5" ht="27.6">
      <c r="A19" s="2" t="s">
        <v>238</v>
      </c>
      <c r="B19" s="2" t="s">
        <v>256</v>
      </c>
      <c r="D19" s="105" t="s">
        <v>670</v>
      </c>
      <c r="E19" s="106" t="s">
        <v>671</v>
      </c>
    </row>
    <row r="20" spans="1:5">
      <c r="A20" s="2" t="s">
        <v>245</v>
      </c>
      <c r="B20" s="2" t="s">
        <v>257</v>
      </c>
    </row>
  </sheetData>
  <sheetProtection algorithmName="SHA-512" hashValue="uBOzzxv2iZ/MItOwh+I4lT7U7TlZrAvP2vL9YZEYPSM8BmorIlrV38fsoEYMjgjFvYbJWZ7Oz4jya1TQfGERXw==" saltValue="rUZWq3yEqqVFMrhVmVpEVQ==" spinCount="100000" sheet="1" objects="1" scenarios="1"/>
  <mergeCells count="1">
    <mergeCell ref="A1:I4"/>
  </mergeCells>
  <conditionalFormatting sqref="H6:H11">
    <cfRule type="colorScale" priority="1">
      <colorScale>
        <cfvo type="min"/>
        <cfvo type="percentile" val="50"/>
        <cfvo type="max"/>
        <color rgb="FFF4CCCC"/>
        <color rgb="FFFFF2CC"/>
        <color rgb="FFD9EAD3"/>
      </colorScale>
    </cfRule>
  </conditionalFormatting>
  <dataValidations count="1">
    <dataValidation type="whole" showErrorMessage="1" error="يرجى ادخال رقم من 1 الى 5" sqref="H6:H11">
      <formula1>1</formula1>
      <formula2>5</formula2>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rightToLeft="1" topLeftCell="D3" workbookViewId="0">
      <selection activeCell="G7" sqref="G7"/>
    </sheetView>
  </sheetViews>
  <sheetFormatPr defaultRowHeight="13.8"/>
  <cols>
    <col min="1" max="1" width="24" customWidth="1"/>
    <col min="2" max="2" width="38" customWidth="1"/>
    <col min="3" max="6" width="32" customWidth="1"/>
    <col min="7" max="7" width="34" customWidth="1"/>
    <col min="8" max="8" width="9.09765625" customWidth="1"/>
    <col min="9" max="9" width="14.19921875" customWidth="1"/>
    <col min="10" max="10" width="15.296875" customWidth="1"/>
    <col min="11" max="11" width="19.59765625" customWidth="1"/>
  </cols>
  <sheetData>
    <row r="1" spans="1:9" s="107" customFormat="1">
      <c r="A1" s="150"/>
      <c r="B1" s="150"/>
      <c r="C1" s="150"/>
      <c r="D1" s="150"/>
      <c r="E1" s="150"/>
      <c r="F1" s="150"/>
      <c r="G1" s="150"/>
      <c r="H1" s="150"/>
      <c r="I1" s="150"/>
    </row>
    <row r="2" spans="1:9" s="107" customFormat="1">
      <c r="A2" s="150"/>
      <c r="B2" s="150"/>
      <c r="C2" s="150"/>
      <c r="D2" s="150"/>
      <c r="E2" s="150"/>
      <c r="F2" s="150"/>
      <c r="G2" s="150"/>
      <c r="H2" s="150"/>
      <c r="I2" s="150"/>
    </row>
    <row r="3" spans="1:9" s="107" customFormat="1">
      <c r="A3" s="150"/>
      <c r="B3" s="150"/>
      <c r="C3" s="150"/>
      <c r="D3" s="150"/>
      <c r="E3" s="150"/>
      <c r="F3" s="150"/>
      <c r="G3" s="150"/>
      <c r="H3" s="150"/>
      <c r="I3" s="150"/>
    </row>
    <row r="4" spans="1:9" s="107" customFormat="1">
      <c r="A4" s="151"/>
      <c r="B4" s="151"/>
      <c r="C4" s="151"/>
      <c r="D4" s="151"/>
      <c r="E4" s="151"/>
      <c r="F4" s="151"/>
      <c r="G4" s="151"/>
      <c r="H4" s="151"/>
      <c r="I4" s="151"/>
    </row>
    <row r="5" spans="1:9" ht="31.95" customHeight="1">
      <c r="A5" s="70" t="s">
        <v>258</v>
      </c>
      <c r="B5" s="70" t="s">
        <v>22</v>
      </c>
      <c r="C5" s="70" t="s">
        <v>23</v>
      </c>
      <c r="D5" s="70" t="s">
        <v>24</v>
      </c>
      <c r="E5" s="70" t="s">
        <v>25</v>
      </c>
      <c r="F5" s="70" t="s">
        <v>26</v>
      </c>
      <c r="G5" s="70" t="s">
        <v>27</v>
      </c>
      <c r="H5" s="70" t="s">
        <v>0</v>
      </c>
      <c r="I5" s="70" t="s">
        <v>620</v>
      </c>
    </row>
    <row r="6" spans="1:9" ht="55.95" customHeight="1">
      <c r="A6" s="72" t="s">
        <v>259</v>
      </c>
      <c r="B6" s="72" t="s">
        <v>260</v>
      </c>
      <c r="C6" s="72" t="s">
        <v>261</v>
      </c>
      <c r="D6" s="72" t="s">
        <v>262</v>
      </c>
      <c r="E6" s="72" t="s">
        <v>263</v>
      </c>
      <c r="F6" s="72" t="s">
        <v>264</v>
      </c>
      <c r="G6" s="72" t="s">
        <v>265</v>
      </c>
      <c r="H6" s="203">
        <v>1</v>
      </c>
      <c r="I6" s="66"/>
    </row>
    <row r="7" spans="1:9" ht="55.95" customHeight="1">
      <c r="A7" s="72" t="s">
        <v>266</v>
      </c>
      <c r="B7" s="72" t="s">
        <v>267</v>
      </c>
      <c r="C7" s="72" t="s">
        <v>268</v>
      </c>
      <c r="D7" s="72" t="s">
        <v>269</v>
      </c>
      <c r="E7" s="72" t="s">
        <v>270</v>
      </c>
      <c r="F7" s="72" t="s">
        <v>271</v>
      </c>
      <c r="G7" s="72" t="s">
        <v>272</v>
      </c>
      <c r="H7" s="203">
        <v>1</v>
      </c>
      <c r="I7" s="66"/>
    </row>
    <row r="8" spans="1:9" ht="55.95" customHeight="1">
      <c r="A8" s="72" t="s">
        <v>273</v>
      </c>
      <c r="B8" s="72" t="s">
        <v>274</v>
      </c>
      <c r="C8" s="72" t="s">
        <v>275</v>
      </c>
      <c r="D8" s="72" t="s">
        <v>276</v>
      </c>
      <c r="E8" s="72" t="s">
        <v>277</v>
      </c>
      <c r="F8" s="72" t="s">
        <v>278</v>
      </c>
      <c r="G8" s="72" t="s">
        <v>279</v>
      </c>
      <c r="H8" s="203">
        <v>1</v>
      </c>
      <c r="I8" s="66"/>
    </row>
    <row r="9" spans="1:9" ht="55.95" customHeight="1">
      <c r="A9" s="72" t="s">
        <v>280</v>
      </c>
      <c r="B9" s="72" t="s">
        <v>281</v>
      </c>
      <c r="C9" s="72" t="s">
        <v>282</v>
      </c>
      <c r="D9" s="72" t="s">
        <v>283</v>
      </c>
      <c r="E9" s="72" t="s">
        <v>284</v>
      </c>
      <c r="F9" s="72" t="s">
        <v>285</v>
      </c>
      <c r="G9" s="72" t="s">
        <v>286</v>
      </c>
      <c r="H9" s="203">
        <v>1</v>
      </c>
      <c r="I9" s="66"/>
    </row>
    <row r="10" spans="1:9" ht="55.95" customHeight="1">
      <c r="A10" s="72" t="s">
        <v>287</v>
      </c>
      <c r="B10" s="72" t="s">
        <v>288</v>
      </c>
      <c r="C10" s="72" t="s">
        <v>289</v>
      </c>
      <c r="D10" s="72" t="s">
        <v>290</v>
      </c>
      <c r="E10" s="72" t="s">
        <v>291</v>
      </c>
      <c r="F10" s="72" t="s">
        <v>292</v>
      </c>
      <c r="G10" s="72" t="s">
        <v>293</v>
      </c>
      <c r="H10" s="203">
        <v>1</v>
      </c>
      <c r="I10" s="66"/>
    </row>
    <row r="11" spans="1:9" ht="55.95" customHeight="1">
      <c r="A11" s="72" t="s">
        <v>294</v>
      </c>
      <c r="B11" s="72" t="s">
        <v>295</v>
      </c>
      <c r="C11" s="72" t="s">
        <v>296</v>
      </c>
      <c r="D11" s="72" t="s">
        <v>297</v>
      </c>
      <c r="E11" s="72" t="s">
        <v>298</v>
      </c>
      <c r="F11" s="72" t="s">
        <v>299</v>
      </c>
      <c r="G11" s="72" t="s">
        <v>300</v>
      </c>
      <c r="H11" s="203">
        <v>1</v>
      </c>
      <c r="I11" s="66"/>
    </row>
    <row r="12" spans="1:9">
      <c r="A12" s="66"/>
      <c r="B12" s="66"/>
      <c r="C12" s="66"/>
      <c r="D12" s="66"/>
      <c r="E12" s="66"/>
      <c r="F12" s="66"/>
      <c r="G12" s="66" t="s">
        <v>70</v>
      </c>
      <c r="H12" s="112">
        <f>(H6+H7+H8+H9+H10+H11)/6</f>
        <v>1</v>
      </c>
      <c r="I12" s="112">
        <f>H12*20</f>
        <v>20</v>
      </c>
    </row>
    <row r="14" spans="1:9">
      <c r="A14" s="1" t="s">
        <v>71</v>
      </c>
      <c r="B14" s="1" t="s">
        <v>72</v>
      </c>
      <c r="D14" s="70" t="s">
        <v>637</v>
      </c>
      <c r="E14" s="70" t="s">
        <v>638</v>
      </c>
    </row>
    <row r="15" spans="1:9" ht="27.6">
      <c r="A15" s="2" t="s">
        <v>259</v>
      </c>
      <c r="B15" s="2" t="s">
        <v>301</v>
      </c>
      <c r="D15" s="105" t="s">
        <v>258</v>
      </c>
      <c r="E15" s="106" t="s">
        <v>672</v>
      </c>
    </row>
    <row r="16" spans="1:9" ht="27.6">
      <c r="A16" s="2" t="s">
        <v>266</v>
      </c>
      <c r="B16" s="2" t="s">
        <v>302</v>
      </c>
      <c r="D16" s="105" t="s">
        <v>673</v>
      </c>
      <c r="E16" s="106" t="s">
        <v>674</v>
      </c>
    </row>
    <row r="17" spans="1:5" ht="27.6">
      <c r="A17" s="2" t="s">
        <v>273</v>
      </c>
      <c r="B17" s="2" t="s">
        <v>303</v>
      </c>
      <c r="D17" s="105" t="s">
        <v>675</v>
      </c>
      <c r="E17" s="106" t="s">
        <v>676</v>
      </c>
    </row>
    <row r="18" spans="1:5" ht="27.6">
      <c r="A18" s="2" t="s">
        <v>280</v>
      </c>
      <c r="B18" s="2" t="s">
        <v>304</v>
      </c>
      <c r="D18" s="105" t="s">
        <v>273</v>
      </c>
      <c r="E18" s="106" t="s">
        <v>677</v>
      </c>
    </row>
    <row r="19" spans="1:5" ht="27.6">
      <c r="A19" s="2" t="s">
        <v>287</v>
      </c>
      <c r="B19" s="2" t="s">
        <v>305</v>
      </c>
      <c r="D19" s="105" t="s">
        <v>280</v>
      </c>
      <c r="E19" s="106" t="s">
        <v>678</v>
      </c>
    </row>
    <row r="20" spans="1:5" ht="27.6">
      <c r="A20" s="2" t="s">
        <v>294</v>
      </c>
      <c r="B20" s="2" t="s">
        <v>306</v>
      </c>
      <c r="D20" s="105" t="s">
        <v>294</v>
      </c>
      <c r="E20" s="106" t="s">
        <v>679</v>
      </c>
    </row>
  </sheetData>
  <sheetProtection algorithmName="SHA-512" hashValue="LLcRxUQSXuK3WX2UJxYF3sPywgPTxr0unhM+mvNwHmkLk+gXcA2ryhX8ulBlk1eg5eh4JslHREj0onYbWhlyXw==" saltValue="Q9k2SOr6vVDD3MgGgT+3Zg==" spinCount="100000" sheet="1" objects="1" scenarios="1"/>
  <mergeCells count="1">
    <mergeCell ref="A1:I4"/>
  </mergeCells>
  <conditionalFormatting sqref="H6:H11">
    <cfRule type="colorScale" priority="1">
      <colorScale>
        <cfvo type="min"/>
        <cfvo type="percentile" val="50"/>
        <cfvo type="max"/>
        <color rgb="FFF4CCCC"/>
        <color rgb="FFFFF2CC"/>
        <color rgb="FFD9EAD3"/>
      </colorScale>
    </cfRule>
  </conditionalFormatting>
  <dataValidations count="1">
    <dataValidation type="whole" showErrorMessage="1" error="يرجى ادخال رقم من 1 الى 5" sqref="H6:H11">
      <formula1>1</formula1>
      <formula2>5</formula2>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
  <sheetViews>
    <sheetView rightToLeft="1" topLeftCell="D1" workbookViewId="0">
      <selection activeCell="G7" sqref="G7"/>
    </sheetView>
  </sheetViews>
  <sheetFormatPr defaultRowHeight="13.8"/>
  <cols>
    <col min="1" max="1" width="24" customWidth="1"/>
    <col min="2" max="2" width="38" customWidth="1"/>
    <col min="3" max="6" width="32" customWidth="1"/>
    <col min="7" max="7" width="34" customWidth="1"/>
    <col min="8" max="8" width="10" customWidth="1"/>
    <col min="9" max="9" width="10.3984375" customWidth="1"/>
    <col min="10" max="10" width="22.796875" customWidth="1"/>
    <col min="11" max="11" width="26.69921875" customWidth="1"/>
  </cols>
  <sheetData>
    <row r="1" spans="1:9">
      <c r="A1" s="150"/>
      <c r="B1" s="150"/>
      <c r="C1" s="150"/>
      <c r="D1" s="150"/>
      <c r="E1" s="150"/>
      <c r="F1" s="150"/>
      <c r="G1" s="150"/>
      <c r="H1" s="150"/>
      <c r="I1" s="150"/>
    </row>
    <row r="2" spans="1:9" s="107" customFormat="1">
      <c r="A2" s="150"/>
      <c r="B2" s="150"/>
      <c r="C2" s="150"/>
      <c r="D2" s="150"/>
      <c r="E2" s="150"/>
      <c r="F2" s="150"/>
      <c r="G2" s="150"/>
      <c r="H2" s="150"/>
      <c r="I2" s="150"/>
    </row>
    <row r="3" spans="1:9" s="107" customFormat="1">
      <c r="A3" s="150"/>
      <c r="B3" s="150"/>
      <c r="C3" s="150"/>
      <c r="D3" s="150"/>
      <c r="E3" s="150"/>
      <c r="F3" s="150"/>
      <c r="G3" s="150"/>
      <c r="H3" s="150"/>
      <c r="I3" s="150"/>
    </row>
    <row r="4" spans="1:9" s="107" customFormat="1">
      <c r="A4" s="151"/>
      <c r="B4" s="151"/>
      <c r="C4" s="151"/>
      <c r="D4" s="151"/>
      <c r="E4" s="151"/>
      <c r="F4" s="151"/>
      <c r="G4" s="151"/>
      <c r="H4" s="151"/>
      <c r="I4" s="151"/>
    </row>
    <row r="5" spans="1:9" ht="31.95" customHeight="1">
      <c r="A5" s="70" t="s">
        <v>307</v>
      </c>
      <c r="B5" s="70" t="s">
        <v>22</v>
      </c>
      <c r="C5" s="70" t="s">
        <v>23</v>
      </c>
      <c r="D5" s="70" t="s">
        <v>24</v>
      </c>
      <c r="E5" s="70" t="s">
        <v>25</v>
      </c>
      <c r="F5" s="70" t="s">
        <v>26</v>
      </c>
      <c r="G5" s="70" t="s">
        <v>27</v>
      </c>
      <c r="H5" s="70" t="s">
        <v>0</v>
      </c>
      <c r="I5" s="70" t="s">
        <v>620</v>
      </c>
    </row>
    <row r="6" spans="1:9" ht="55.95" customHeight="1">
      <c r="A6" s="72" t="s">
        <v>308</v>
      </c>
      <c r="B6" s="72" t="s">
        <v>309</v>
      </c>
      <c r="C6" s="72" t="s">
        <v>310</v>
      </c>
      <c r="D6" s="72" t="s">
        <v>311</v>
      </c>
      <c r="E6" s="72" t="s">
        <v>312</v>
      </c>
      <c r="F6" s="72" t="s">
        <v>313</v>
      </c>
      <c r="G6" s="72" t="s">
        <v>314</v>
      </c>
      <c r="H6" s="203">
        <v>1</v>
      </c>
      <c r="I6" s="66"/>
    </row>
    <row r="7" spans="1:9" ht="55.95" customHeight="1">
      <c r="A7" s="72" t="s">
        <v>315</v>
      </c>
      <c r="B7" s="72" t="s">
        <v>316</v>
      </c>
      <c r="C7" s="72" t="s">
        <v>317</v>
      </c>
      <c r="D7" s="72" t="s">
        <v>318</v>
      </c>
      <c r="E7" s="72" t="s">
        <v>319</v>
      </c>
      <c r="F7" s="72" t="s">
        <v>320</v>
      </c>
      <c r="G7" s="72" t="s">
        <v>321</v>
      </c>
      <c r="H7" s="203">
        <v>1</v>
      </c>
      <c r="I7" s="66"/>
    </row>
    <row r="8" spans="1:9" ht="55.95" customHeight="1">
      <c r="A8" s="72" t="s">
        <v>322</v>
      </c>
      <c r="B8" s="72" t="s">
        <v>323</v>
      </c>
      <c r="C8" s="72" t="s">
        <v>324</v>
      </c>
      <c r="D8" s="72" t="s">
        <v>325</v>
      </c>
      <c r="E8" s="72" t="s">
        <v>326</v>
      </c>
      <c r="F8" s="72" t="s">
        <v>327</v>
      </c>
      <c r="G8" s="72" t="s">
        <v>328</v>
      </c>
      <c r="H8" s="203">
        <v>1</v>
      </c>
      <c r="I8" s="66"/>
    </row>
    <row r="9" spans="1:9" ht="55.95" customHeight="1">
      <c r="A9" s="72" t="s">
        <v>329</v>
      </c>
      <c r="B9" s="72" t="s">
        <v>330</v>
      </c>
      <c r="C9" s="72" t="s">
        <v>331</v>
      </c>
      <c r="D9" s="72" t="s">
        <v>332</v>
      </c>
      <c r="E9" s="72" t="s">
        <v>333</v>
      </c>
      <c r="F9" s="72" t="s">
        <v>334</v>
      </c>
      <c r="G9" s="72" t="s">
        <v>335</v>
      </c>
      <c r="H9" s="203">
        <v>1</v>
      </c>
      <c r="I9" s="66"/>
    </row>
    <row r="10" spans="1:9" ht="55.95" customHeight="1">
      <c r="A10" s="72" t="s">
        <v>336</v>
      </c>
      <c r="B10" s="72" t="s">
        <v>337</v>
      </c>
      <c r="C10" s="72" t="s">
        <v>338</v>
      </c>
      <c r="D10" s="72" t="s">
        <v>339</v>
      </c>
      <c r="E10" s="72" t="s">
        <v>340</v>
      </c>
      <c r="F10" s="72" t="s">
        <v>341</v>
      </c>
      <c r="G10" s="72" t="s">
        <v>342</v>
      </c>
      <c r="H10" s="203">
        <v>1</v>
      </c>
      <c r="I10" s="66"/>
    </row>
    <row r="11" spans="1:9">
      <c r="A11" s="66"/>
      <c r="B11" s="66"/>
      <c r="C11" s="66"/>
      <c r="D11" s="66"/>
      <c r="E11" s="66"/>
      <c r="F11" s="66"/>
      <c r="G11" s="66" t="s">
        <v>70</v>
      </c>
      <c r="H11" s="112">
        <f>(H6+H7+H8+H9+H10)/5</f>
        <v>1</v>
      </c>
      <c r="I11" s="112">
        <f>H11*20</f>
        <v>20</v>
      </c>
    </row>
    <row r="13" spans="1:9">
      <c r="A13" s="1" t="s">
        <v>71</v>
      </c>
      <c r="B13" s="1" t="s">
        <v>72</v>
      </c>
      <c r="D13" s="70" t="s">
        <v>637</v>
      </c>
      <c r="E13" s="70" t="s">
        <v>638</v>
      </c>
    </row>
    <row r="14" spans="1:9" ht="27.6">
      <c r="A14" s="2" t="s">
        <v>308</v>
      </c>
      <c r="B14" s="2" t="s">
        <v>343</v>
      </c>
      <c r="D14" s="105" t="s">
        <v>308</v>
      </c>
      <c r="E14" s="106" t="s">
        <v>680</v>
      </c>
    </row>
    <row r="15" spans="1:9" ht="27.6">
      <c r="A15" s="2" t="s">
        <v>315</v>
      </c>
      <c r="B15" s="2" t="s">
        <v>344</v>
      </c>
      <c r="D15" s="105" t="s">
        <v>681</v>
      </c>
      <c r="E15" s="106" t="s">
        <v>682</v>
      </c>
    </row>
    <row r="16" spans="1:9" ht="27.6">
      <c r="A16" s="2" t="s">
        <v>322</v>
      </c>
      <c r="B16" s="2" t="s">
        <v>345</v>
      </c>
      <c r="D16" s="105" t="s">
        <v>315</v>
      </c>
      <c r="E16" s="106" t="s">
        <v>683</v>
      </c>
    </row>
    <row r="17" spans="1:5" ht="27.6">
      <c r="A17" s="2" t="s">
        <v>329</v>
      </c>
      <c r="B17" s="2" t="s">
        <v>346</v>
      </c>
      <c r="D17" s="105" t="s">
        <v>684</v>
      </c>
      <c r="E17" s="106" t="s">
        <v>685</v>
      </c>
    </row>
    <row r="18" spans="1:5" ht="27.6">
      <c r="A18" s="2" t="s">
        <v>336</v>
      </c>
      <c r="B18" s="2" t="s">
        <v>347</v>
      </c>
      <c r="D18" s="105" t="s">
        <v>329</v>
      </c>
      <c r="E18" s="106" t="s">
        <v>686</v>
      </c>
    </row>
    <row r="19" spans="1:5" ht="27.6">
      <c r="D19" s="105" t="s">
        <v>687</v>
      </c>
      <c r="E19" s="106" t="s">
        <v>688</v>
      </c>
    </row>
  </sheetData>
  <sheetProtection algorithmName="SHA-512" hashValue="Z8QmmlzD2KvS/j2Us2OOanMg5qQTacqz1/n2OFeUVfj/0pKw5+Cu2RzYde/S3so/CDyYr5NHuziQs5DGENfk3A==" saltValue="9Us+TEKAfs7YeGYDvEJhtg==" spinCount="100000" sheet="1" objects="1" scenarios="1"/>
  <mergeCells count="1">
    <mergeCell ref="A1:I4"/>
  </mergeCells>
  <conditionalFormatting sqref="H6:H10">
    <cfRule type="colorScale" priority="1">
      <colorScale>
        <cfvo type="min"/>
        <cfvo type="percentile" val="50"/>
        <cfvo type="max"/>
        <color rgb="FFF4CCCC"/>
        <color rgb="FFFFF2CC"/>
        <color rgb="FFD9EAD3"/>
      </colorScale>
    </cfRule>
  </conditionalFormatting>
  <dataValidations count="1">
    <dataValidation type="whole" showErrorMessage="1" error="يرجى ادخال رقم من 1 الى 5" sqref="H6:H10">
      <formula1>1</formula1>
      <formula2>5</formula2>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rightToLeft="1" topLeftCell="D1" workbookViewId="0">
      <selection activeCell="G9" sqref="G9"/>
    </sheetView>
  </sheetViews>
  <sheetFormatPr defaultRowHeight="13.8"/>
  <cols>
    <col min="1" max="1" width="24" customWidth="1"/>
    <col min="2" max="2" width="38" customWidth="1"/>
    <col min="3" max="6" width="32" customWidth="1"/>
    <col min="7" max="7" width="34" customWidth="1"/>
    <col min="8" max="8" width="10.59765625" customWidth="1"/>
    <col min="10" max="10" width="17.3984375" customWidth="1"/>
    <col min="11" max="11" width="24.3984375" customWidth="1"/>
  </cols>
  <sheetData>
    <row r="1" spans="1:9" s="107" customFormat="1">
      <c r="A1" s="150"/>
      <c r="B1" s="150"/>
      <c r="C1" s="150"/>
      <c r="D1" s="150"/>
      <c r="E1" s="150"/>
      <c r="F1" s="150"/>
      <c r="G1" s="150"/>
      <c r="H1" s="150"/>
      <c r="I1" s="150"/>
    </row>
    <row r="2" spans="1:9" s="107" customFormat="1">
      <c r="A2" s="150"/>
      <c r="B2" s="150"/>
      <c r="C2" s="150"/>
      <c r="D2" s="150"/>
      <c r="E2" s="150"/>
      <c r="F2" s="150"/>
      <c r="G2" s="150"/>
      <c r="H2" s="150"/>
      <c r="I2" s="150"/>
    </row>
    <row r="3" spans="1:9" s="107" customFormat="1">
      <c r="A3" s="150"/>
      <c r="B3" s="150"/>
      <c r="C3" s="150"/>
      <c r="D3" s="150"/>
      <c r="E3" s="150"/>
      <c r="F3" s="150"/>
      <c r="G3" s="150"/>
      <c r="H3" s="150"/>
      <c r="I3" s="150"/>
    </row>
    <row r="4" spans="1:9" s="107" customFormat="1">
      <c r="A4" s="151"/>
      <c r="B4" s="151"/>
      <c r="C4" s="151"/>
      <c r="D4" s="151"/>
      <c r="E4" s="151"/>
      <c r="F4" s="151"/>
      <c r="G4" s="151"/>
      <c r="H4" s="151"/>
      <c r="I4" s="151"/>
    </row>
    <row r="5" spans="1:9" ht="31.95" customHeight="1">
      <c r="A5" s="70" t="s">
        <v>348</v>
      </c>
      <c r="B5" s="70" t="s">
        <v>22</v>
      </c>
      <c r="C5" s="70" t="s">
        <v>23</v>
      </c>
      <c r="D5" s="70" t="s">
        <v>24</v>
      </c>
      <c r="E5" s="70" t="s">
        <v>25</v>
      </c>
      <c r="F5" s="70" t="s">
        <v>26</v>
      </c>
      <c r="G5" s="70" t="s">
        <v>27</v>
      </c>
      <c r="H5" s="70" t="s">
        <v>0</v>
      </c>
      <c r="I5" s="70" t="s">
        <v>620</v>
      </c>
    </row>
    <row r="6" spans="1:9" ht="55.95" customHeight="1">
      <c r="A6" s="72" t="s">
        <v>349</v>
      </c>
      <c r="B6" s="72" t="s">
        <v>350</v>
      </c>
      <c r="C6" s="72" t="s">
        <v>351</v>
      </c>
      <c r="D6" s="72" t="s">
        <v>352</v>
      </c>
      <c r="E6" s="72" t="s">
        <v>353</v>
      </c>
      <c r="F6" s="72" t="s">
        <v>354</v>
      </c>
      <c r="G6" s="72" t="s">
        <v>355</v>
      </c>
      <c r="H6" s="203">
        <v>1</v>
      </c>
      <c r="I6" s="66"/>
    </row>
    <row r="7" spans="1:9" ht="55.95" customHeight="1">
      <c r="A7" s="72" t="s">
        <v>356</v>
      </c>
      <c r="B7" s="72" t="s">
        <v>357</v>
      </c>
      <c r="C7" s="72" t="s">
        <v>358</v>
      </c>
      <c r="D7" s="72" t="s">
        <v>359</v>
      </c>
      <c r="E7" s="72" t="s">
        <v>360</v>
      </c>
      <c r="F7" s="72" t="s">
        <v>361</v>
      </c>
      <c r="G7" s="72" t="s">
        <v>362</v>
      </c>
      <c r="H7" s="203">
        <v>1</v>
      </c>
      <c r="I7" s="66"/>
    </row>
    <row r="8" spans="1:9" ht="55.95" customHeight="1">
      <c r="A8" s="72" t="s">
        <v>363</v>
      </c>
      <c r="B8" s="72" t="s">
        <v>364</v>
      </c>
      <c r="C8" s="72" t="s">
        <v>365</v>
      </c>
      <c r="D8" s="72" t="s">
        <v>366</v>
      </c>
      <c r="E8" s="72" t="s">
        <v>367</v>
      </c>
      <c r="F8" s="72" t="s">
        <v>368</v>
      </c>
      <c r="G8" s="72" t="s">
        <v>369</v>
      </c>
      <c r="H8" s="203">
        <v>1</v>
      </c>
      <c r="I8" s="66"/>
    </row>
    <row r="9" spans="1:9" ht="55.95" customHeight="1">
      <c r="A9" s="72" t="s">
        <v>370</v>
      </c>
      <c r="B9" s="72" t="s">
        <v>371</v>
      </c>
      <c r="C9" s="72" t="s">
        <v>372</v>
      </c>
      <c r="D9" s="72" t="s">
        <v>373</v>
      </c>
      <c r="E9" s="72" t="s">
        <v>374</v>
      </c>
      <c r="F9" s="72" t="s">
        <v>375</v>
      </c>
      <c r="G9" s="72" t="s">
        <v>376</v>
      </c>
      <c r="H9" s="203">
        <v>1</v>
      </c>
      <c r="I9" s="66"/>
    </row>
    <row r="10" spans="1:9" ht="55.95" customHeight="1">
      <c r="A10" s="72" t="s">
        <v>377</v>
      </c>
      <c r="B10" s="72" t="s">
        <v>378</v>
      </c>
      <c r="C10" s="72" t="s">
        <v>379</v>
      </c>
      <c r="D10" s="72" t="s">
        <v>380</v>
      </c>
      <c r="E10" s="72" t="s">
        <v>381</v>
      </c>
      <c r="F10" s="72" t="s">
        <v>382</v>
      </c>
      <c r="G10" s="72" t="s">
        <v>383</v>
      </c>
      <c r="H10" s="203">
        <v>1</v>
      </c>
      <c r="I10" s="66"/>
    </row>
    <row r="11" spans="1:9">
      <c r="A11" s="66"/>
      <c r="B11" s="66"/>
      <c r="C11" s="66"/>
      <c r="D11" s="66"/>
      <c r="E11" s="66"/>
      <c r="F11" s="66"/>
      <c r="G11" s="66" t="s">
        <v>70</v>
      </c>
      <c r="H11" s="112">
        <f>(H6+H7+H8+H9+H10)/5</f>
        <v>1</v>
      </c>
      <c r="I11" s="112">
        <f>H11*20</f>
        <v>20</v>
      </c>
    </row>
    <row r="13" spans="1:9">
      <c r="A13" s="1" t="s">
        <v>71</v>
      </c>
      <c r="B13" s="1" t="s">
        <v>72</v>
      </c>
      <c r="D13" s="70" t="s">
        <v>637</v>
      </c>
      <c r="E13" s="70" t="s">
        <v>638</v>
      </c>
    </row>
    <row r="14" spans="1:9" ht="27.6">
      <c r="A14" s="2" t="s">
        <v>349</v>
      </c>
      <c r="B14" s="2" t="s">
        <v>384</v>
      </c>
      <c r="D14" s="105" t="s">
        <v>689</v>
      </c>
      <c r="E14" s="106" t="s">
        <v>690</v>
      </c>
    </row>
    <row r="15" spans="1:9" ht="27.6">
      <c r="A15" s="2" t="s">
        <v>356</v>
      </c>
      <c r="B15" s="2" t="s">
        <v>385</v>
      </c>
      <c r="D15" s="105" t="s">
        <v>691</v>
      </c>
      <c r="E15" s="106" t="s">
        <v>692</v>
      </c>
    </row>
    <row r="16" spans="1:9">
      <c r="A16" s="2" t="s">
        <v>363</v>
      </c>
      <c r="B16" s="2" t="s">
        <v>386</v>
      </c>
      <c r="D16" s="105" t="s">
        <v>693</v>
      </c>
      <c r="E16" s="106" t="s">
        <v>694</v>
      </c>
    </row>
    <row r="17" spans="1:5" ht="27.6">
      <c r="A17" s="2" t="s">
        <v>370</v>
      </c>
      <c r="B17" s="2" t="s">
        <v>387</v>
      </c>
      <c r="D17" s="105" t="s">
        <v>695</v>
      </c>
      <c r="E17" s="106" t="s">
        <v>696</v>
      </c>
    </row>
    <row r="18" spans="1:5" ht="27.6">
      <c r="A18" s="2" t="s">
        <v>377</v>
      </c>
      <c r="B18" s="2" t="s">
        <v>388</v>
      </c>
      <c r="D18" s="105" t="s">
        <v>697</v>
      </c>
      <c r="E18" s="106" t="s">
        <v>698</v>
      </c>
    </row>
  </sheetData>
  <sheetProtection algorithmName="SHA-512" hashValue="TGa8QBESM+31fZjhQIy6O9cQohg9bRdJQZfCdRMgiXzxzruaUxfcs2IOEVg+9zSEMQz+bXBcbIPckiubADchBQ==" saltValue="lL9uKat4rty8ibu8wdjWdA==" spinCount="100000" sheet="1" objects="1" scenarios="1"/>
  <mergeCells count="1">
    <mergeCell ref="A1:I4"/>
  </mergeCells>
  <conditionalFormatting sqref="H6:H10">
    <cfRule type="colorScale" priority="1">
      <colorScale>
        <cfvo type="min"/>
        <cfvo type="percentile" val="50"/>
        <cfvo type="max"/>
        <color rgb="FFF4CCCC"/>
        <color rgb="FFFFF2CC"/>
        <color rgb="FFD9EAD3"/>
      </colorScale>
    </cfRule>
  </conditionalFormatting>
  <dataValidations count="1">
    <dataValidation type="whole" showErrorMessage="1" error="يرجى ادخال رقم من 1 الى 5" sqref="H6:H10">
      <formula1>1</formula1>
      <formula2>5</formula2>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rightToLeft="1" topLeftCell="D1" workbookViewId="0">
      <selection activeCell="K8" sqref="K8"/>
    </sheetView>
  </sheetViews>
  <sheetFormatPr defaultRowHeight="13.8"/>
  <cols>
    <col min="1" max="1" width="24" customWidth="1"/>
    <col min="2" max="2" width="38" customWidth="1"/>
    <col min="3" max="6" width="32" customWidth="1"/>
    <col min="7" max="7" width="34" customWidth="1"/>
    <col min="8" max="8" width="16.69921875" customWidth="1"/>
    <col min="9" max="9" width="10.59765625" customWidth="1"/>
    <col min="10" max="10" width="17.8984375" customWidth="1"/>
    <col min="11" max="11" width="22.796875" customWidth="1"/>
  </cols>
  <sheetData>
    <row r="1" spans="1:9" s="107" customFormat="1">
      <c r="A1" s="150"/>
      <c r="B1" s="150"/>
      <c r="C1" s="150"/>
      <c r="D1" s="150"/>
      <c r="E1" s="150"/>
      <c r="F1" s="150"/>
      <c r="G1" s="150"/>
      <c r="H1" s="150"/>
      <c r="I1" s="150"/>
    </row>
    <row r="2" spans="1:9" s="107" customFormat="1">
      <c r="A2" s="150"/>
      <c r="B2" s="150"/>
      <c r="C2" s="150"/>
      <c r="D2" s="150"/>
      <c r="E2" s="150"/>
      <c r="F2" s="150"/>
      <c r="G2" s="150"/>
      <c r="H2" s="150"/>
      <c r="I2" s="150"/>
    </row>
    <row r="3" spans="1:9" s="107" customFormat="1">
      <c r="A3" s="150"/>
      <c r="B3" s="150"/>
      <c r="C3" s="150"/>
      <c r="D3" s="150"/>
      <c r="E3" s="150"/>
      <c r="F3" s="150"/>
      <c r="G3" s="150"/>
      <c r="H3" s="150"/>
      <c r="I3" s="150"/>
    </row>
    <row r="4" spans="1:9" s="107" customFormat="1">
      <c r="A4" s="151"/>
      <c r="B4" s="151"/>
      <c r="C4" s="151"/>
      <c r="D4" s="151"/>
      <c r="E4" s="151"/>
      <c r="F4" s="151"/>
      <c r="G4" s="151"/>
      <c r="H4" s="151"/>
      <c r="I4" s="151"/>
    </row>
    <row r="5" spans="1:9" ht="31.95" customHeight="1">
      <c r="A5" s="70" t="s">
        <v>389</v>
      </c>
      <c r="B5" s="70" t="s">
        <v>22</v>
      </c>
      <c r="C5" s="70" t="s">
        <v>23</v>
      </c>
      <c r="D5" s="70" t="s">
        <v>24</v>
      </c>
      <c r="E5" s="70" t="s">
        <v>25</v>
      </c>
      <c r="F5" s="70" t="s">
        <v>26</v>
      </c>
      <c r="G5" s="70" t="s">
        <v>27</v>
      </c>
      <c r="H5" s="70" t="s">
        <v>0</v>
      </c>
      <c r="I5" s="70" t="s">
        <v>620</v>
      </c>
    </row>
    <row r="6" spans="1:9" ht="55.95" customHeight="1">
      <c r="A6" s="72" t="s">
        <v>390</v>
      </c>
      <c r="B6" s="72" t="s">
        <v>391</v>
      </c>
      <c r="C6" s="72" t="s">
        <v>392</v>
      </c>
      <c r="D6" s="72" t="s">
        <v>393</v>
      </c>
      <c r="E6" s="72" t="s">
        <v>394</v>
      </c>
      <c r="F6" s="72" t="s">
        <v>395</v>
      </c>
      <c r="G6" s="72" t="s">
        <v>396</v>
      </c>
      <c r="H6" s="203">
        <v>1</v>
      </c>
      <c r="I6" s="66"/>
    </row>
    <row r="7" spans="1:9" ht="55.95" customHeight="1">
      <c r="A7" s="72" t="s">
        <v>397</v>
      </c>
      <c r="B7" s="72" t="s">
        <v>398</v>
      </c>
      <c r="C7" s="72" t="s">
        <v>399</v>
      </c>
      <c r="D7" s="72" t="s">
        <v>400</v>
      </c>
      <c r="E7" s="72" t="s">
        <v>401</v>
      </c>
      <c r="F7" s="72" t="s">
        <v>402</v>
      </c>
      <c r="G7" s="72" t="s">
        <v>403</v>
      </c>
      <c r="H7" s="203">
        <v>1</v>
      </c>
      <c r="I7" s="71"/>
    </row>
    <row r="8" spans="1:9" ht="55.95" customHeight="1">
      <c r="A8" s="72" t="s">
        <v>404</v>
      </c>
      <c r="B8" s="72" t="s">
        <v>405</v>
      </c>
      <c r="C8" s="72" t="s">
        <v>406</v>
      </c>
      <c r="D8" s="72" t="s">
        <v>407</v>
      </c>
      <c r="E8" s="72" t="s">
        <v>408</v>
      </c>
      <c r="F8" s="72" t="s">
        <v>409</v>
      </c>
      <c r="G8" s="72" t="s">
        <v>410</v>
      </c>
      <c r="H8" s="203">
        <v>1</v>
      </c>
      <c r="I8" s="66"/>
    </row>
    <row r="9" spans="1:9" ht="55.95" customHeight="1">
      <c r="A9" s="72" t="s">
        <v>411</v>
      </c>
      <c r="B9" s="72" t="s">
        <v>412</v>
      </c>
      <c r="C9" s="72" t="s">
        <v>413</v>
      </c>
      <c r="D9" s="72" t="s">
        <v>414</v>
      </c>
      <c r="E9" s="72" t="s">
        <v>415</v>
      </c>
      <c r="F9" s="72" t="s">
        <v>416</v>
      </c>
      <c r="G9" s="72" t="s">
        <v>417</v>
      </c>
      <c r="H9" s="203">
        <v>1</v>
      </c>
      <c r="I9" s="66"/>
    </row>
    <row r="10" spans="1:9" ht="55.95" customHeight="1">
      <c r="A10" s="72" t="s">
        <v>418</v>
      </c>
      <c r="B10" s="72" t="s">
        <v>419</v>
      </c>
      <c r="C10" s="72" t="s">
        <v>420</v>
      </c>
      <c r="D10" s="72" t="s">
        <v>421</v>
      </c>
      <c r="E10" s="72" t="s">
        <v>422</v>
      </c>
      <c r="F10" s="72" t="s">
        <v>423</v>
      </c>
      <c r="G10" s="72" t="s">
        <v>424</v>
      </c>
      <c r="H10" s="203">
        <v>1</v>
      </c>
      <c r="I10" s="66"/>
    </row>
    <row r="11" spans="1:9" ht="55.95" customHeight="1">
      <c r="A11" s="72" t="s">
        <v>425</v>
      </c>
      <c r="B11" s="72" t="s">
        <v>426</v>
      </c>
      <c r="C11" s="72" t="s">
        <v>427</v>
      </c>
      <c r="D11" s="72" t="s">
        <v>428</v>
      </c>
      <c r="E11" s="72" t="s">
        <v>429</v>
      </c>
      <c r="F11" s="72" t="s">
        <v>430</v>
      </c>
      <c r="G11" s="72" t="s">
        <v>431</v>
      </c>
      <c r="H11" s="203">
        <v>1</v>
      </c>
      <c r="I11" s="66"/>
    </row>
    <row r="12" spans="1:9" ht="55.95" customHeight="1">
      <c r="A12" s="72" t="s">
        <v>432</v>
      </c>
      <c r="B12" s="72" t="s">
        <v>433</v>
      </c>
      <c r="C12" s="72" t="s">
        <v>434</v>
      </c>
      <c r="D12" s="72" t="s">
        <v>435</v>
      </c>
      <c r="E12" s="72" t="s">
        <v>436</v>
      </c>
      <c r="F12" s="72" t="s">
        <v>437</v>
      </c>
      <c r="G12" s="72" t="s">
        <v>438</v>
      </c>
      <c r="H12" s="203">
        <v>1</v>
      </c>
      <c r="I12" s="66"/>
    </row>
    <row r="13" spans="1:9">
      <c r="G13" s="66" t="s">
        <v>70</v>
      </c>
      <c r="H13" s="112">
        <f>(H6+H7+H8+H9+H10+H11+H12)/7</f>
        <v>1</v>
      </c>
      <c r="I13" s="112">
        <f>H13*20</f>
        <v>20</v>
      </c>
    </row>
    <row r="14" spans="1:9">
      <c r="D14" s="70" t="s">
        <v>637</v>
      </c>
      <c r="E14" s="70" t="s">
        <v>638</v>
      </c>
    </row>
    <row r="15" spans="1:9" ht="27.6">
      <c r="A15" s="1" t="s">
        <v>71</v>
      </c>
      <c r="B15" s="1" t="s">
        <v>72</v>
      </c>
      <c r="D15" s="105" t="s">
        <v>390</v>
      </c>
      <c r="E15" s="106" t="s">
        <v>699</v>
      </c>
    </row>
    <row r="16" spans="1:9" ht="27.6">
      <c r="A16" s="2" t="s">
        <v>390</v>
      </c>
      <c r="B16" s="2" t="s">
        <v>439</v>
      </c>
      <c r="D16" s="105" t="s">
        <v>700</v>
      </c>
      <c r="E16" s="106" t="s">
        <v>701</v>
      </c>
    </row>
    <row r="17" spans="1:5" ht="27.6">
      <c r="A17" s="2" t="s">
        <v>397</v>
      </c>
      <c r="B17" s="2" t="s">
        <v>440</v>
      </c>
      <c r="D17" s="105" t="s">
        <v>702</v>
      </c>
      <c r="E17" s="106" t="s">
        <v>703</v>
      </c>
    </row>
    <row r="18" spans="1:5" ht="27.6">
      <c r="A18" s="2" t="s">
        <v>404</v>
      </c>
      <c r="B18" s="2" t="s">
        <v>441</v>
      </c>
      <c r="D18" s="105" t="s">
        <v>704</v>
      </c>
      <c r="E18" s="106" t="s">
        <v>705</v>
      </c>
    </row>
    <row r="19" spans="1:5" ht="27.6">
      <c r="A19" s="2" t="s">
        <v>411</v>
      </c>
      <c r="B19" s="2" t="s">
        <v>442</v>
      </c>
      <c r="D19" s="105" t="s">
        <v>418</v>
      </c>
      <c r="E19" s="106" t="s">
        <v>706</v>
      </c>
    </row>
    <row r="20" spans="1:5" ht="27.6">
      <c r="A20" s="2" t="s">
        <v>418</v>
      </c>
      <c r="B20" s="2" t="s">
        <v>443</v>
      </c>
      <c r="D20" s="105" t="s">
        <v>707</v>
      </c>
      <c r="E20" s="106" t="s">
        <v>708</v>
      </c>
    </row>
    <row r="21" spans="1:5" ht="27.6">
      <c r="A21" s="2" t="s">
        <v>425</v>
      </c>
      <c r="B21" s="2" t="s">
        <v>444</v>
      </c>
      <c r="D21" s="105" t="s">
        <v>709</v>
      </c>
      <c r="E21" s="106" t="s">
        <v>710</v>
      </c>
    </row>
    <row r="22" spans="1:5">
      <c r="A22" s="2" t="s">
        <v>432</v>
      </c>
      <c r="B22" s="2" t="s">
        <v>445</v>
      </c>
    </row>
  </sheetData>
  <sheetProtection algorithmName="SHA-512" hashValue="KQbU9AMBTP4+VKLh4YIY1jY8RfhOPAgOFGybqMGeltMU1s7DM27UuuWy4gAp73NIcBqtkKn2KsQVRj8KEuTYRw==" saltValue="MMWaPqZsVTiSlKsNqYPYOA==" spinCount="100000" sheet="1" objects="1" scenarios="1"/>
  <mergeCells count="1">
    <mergeCell ref="A1:I4"/>
  </mergeCells>
  <conditionalFormatting sqref="H6:H12">
    <cfRule type="colorScale" priority="1">
      <colorScale>
        <cfvo type="min"/>
        <cfvo type="percentile" val="50"/>
        <cfvo type="max"/>
        <color rgb="FFF4CCCC"/>
        <color rgb="FFFFF2CC"/>
        <color rgb="FFD9EAD3"/>
      </colorScale>
    </cfRule>
  </conditionalFormatting>
  <dataValidations count="1">
    <dataValidation type="whole" showErrorMessage="1" error="يرجى ادخال رقم من 1 الى 5" sqref="H6:H12">
      <formula1>1</formula1>
      <formula2>5</formula2>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rightToLeft="1" tabSelected="1" topLeftCell="D1" zoomScaleNormal="100" workbookViewId="0">
      <selection activeCell="J4" sqref="J4"/>
    </sheetView>
  </sheetViews>
  <sheetFormatPr defaultRowHeight="13.8"/>
  <cols>
    <col min="1" max="1" width="24" customWidth="1"/>
    <col min="2" max="2" width="38" customWidth="1"/>
    <col min="3" max="6" width="32" customWidth="1"/>
    <col min="7" max="7" width="34" customWidth="1"/>
    <col min="8" max="8" width="18.09765625" customWidth="1"/>
    <col min="10" max="10" width="16.19921875" customWidth="1"/>
    <col min="11" max="11" width="20.8984375" customWidth="1"/>
  </cols>
  <sheetData>
    <row r="1" spans="1:9" s="107" customFormat="1">
      <c r="A1" s="152"/>
      <c r="B1" s="152"/>
      <c r="C1" s="152"/>
      <c r="D1" s="152"/>
      <c r="E1" s="152"/>
      <c r="F1" s="152"/>
      <c r="G1" s="152"/>
      <c r="H1" s="152"/>
      <c r="I1" s="152"/>
    </row>
    <row r="2" spans="1:9" s="107" customFormat="1">
      <c r="A2" s="152"/>
      <c r="B2" s="152"/>
      <c r="C2" s="152"/>
      <c r="D2" s="152"/>
      <c r="E2" s="152"/>
      <c r="F2" s="152"/>
      <c r="G2" s="152"/>
      <c r="H2" s="152"/>
      <c r="I2" s="152"/>
    </row>
    <row r="3" spans="1:9" s="107" customFormat="1">
      <c r="A3" s="152"/>
      <c r="B3" s="152"/>
      <c r="C3" s="152"/>
      <c r="D3" s="152"/>
      <c r="E3" s="152"/>
      <c r="F3" s="152"/>
      <c r="G3" s="152"/>
      <c r="H3" s="152"/>
      <c r="I3" s="152"/>
    </row>
    <row r="4" spans="1:9" s="107" customFormat="1">
      <c r="A4" s="153"/>
      <c r="B4" s="153"/>
      <c r="C4" s="153"/>
      <c r="D4" s="153"/>
      <c r="E4" s="153"/>
      <c r="F4" s="153"/>
      <c r="G4" s="153"/>
      <c r="H4" s="153"/>
      <c r="I4" s="153"/>
    </row>
    <row r="5" spans="1:9" ht="31.95" customHeight="1">
      <c r="A5" s="70" t="s">
        <v>446</v>
      </c>
      <c r="B5" s="70" t="s">
        <v>22</v>
      </c>
      <c r="C5" s="70" t="s">
        <v>23</v>
      </c>
      <c r="D5" s="70" t="s">
        <v>24</v>
      </c>
      <c r="E5" s="70" t="s">
        <v>25</v>
      </c>
      <c r="F5" s="70" t="s">
        <v>26</v>
      </c>
      <c r="G5" s="70" t="s">
        <v>27</v>
      </c>
      <c r="H5" s="70" t="s">
        <v>0</v>
      </c>
      <c r="I5" s="70" t="s">
        <v>620</v>
      </c>
    </row>
    <row r="6" spans="1:9" ht="55.95" customHeight="1">
      <c r="A6" s="72" t="s">
        <v>447</v>
      </c>
      <c r="B6" s="72" t="s">
        <v>448</v>
      </c>
      <c r="C6" s="72" t="s">
        <v>449</v>
      </c>
      <c r="D6" s="72" t="s">
        <v>450</v>
      </c>
      <c r="E6" s="72" t="s">
        <v>451</v>
      </c>
      <c r="F6" s="72" t="s">
        <v>452</v>
      </c>
      <c r="G6" s="72" t="s">
        <v>453</v>
      </c>
      <c r="H6" s="203">
        <v>1</v>
      </c>
      <c r="I6" s="66"/>
    </row>
    <row r="7" spans="1:9" ht="55.95" customHeight="1">
      <c r="A7" s="72" t="s">
        <v>454</v>
      </c>
      <c r="B7" s="72" t="s">
        <v>455</v>
      </c>
      <c r="C7" s="72" t="s">
        <v>456</v>
      </c>
      <c r="D7" s="72" t="s">
        <v>457</v>
      </c>
      <c r="E7" s="72" t="s">
        <v>458</v>
      </c>
      <c r="F7" s="72" t="s">
        <v>459</v>
      </c>
      <c r="G7" s="72" t="s">
        <v>460</v>
      </c>
      <c r="H7" s="203">
        <v>1</v>
      </c>
      <c r="I7" s="66"/>
    </row>
    <row r="8" spans="1:9" ht="55.95" customHeight="1">
      <c r="A8" s="72" t="s">
        <v>461</v>
      </c>
      <c r="B8" s="72" t="s">
        <v>462</v>
      </c>
      <c r="C8" s="72" t="s">
        <v>463</v>
      </c>
      <c r="D8" s="72" t="s">
        <v>464</v>
      </c>
      <c r="E8" s="72" t="s">
        <v>465</v>
      </c>
      <c r="F8" s="72" t="s">
        <v>466</v>
      </c>
      <c r="G8" s="72" t="s">
        <v>467</v>
      </c>
      <c r="H8" s="203">
        <v>1</v>
      </c>
      <c r="I8" s="66"/>
    </row>
    <row r="9" spans="1:9" ht="55.95" customHeight="1">
      <c r="A9" s="72" t="s">
        <v>468</v>
      </c>
      <c r="B9" s="72" t="s">
        <v>469</v>
      </c>
      <c r="C9" s="72" t="s">
        <v>470</v>
      </c>
      <c r="D9" s="72" t="s">
        <v>471</v>
      </c>
      <c r="E9" s="72" t="s">
        <v>472</v>
      </c>
      <c r="F9" s="72" t="s">
        <v>473</v>
      </c>
      <c r="G9" s="72" t="s">
        <v>474</v>
      </c>
      <c r="H9" s="203">
        <v>1</v>
      </c>
      <c r="I9" s="66"/>
    </row>
    <row r="10" spans="1:9" ht="55.95" customHeight="1">
      <c r="A10" s="72" t="s">
        <v>475</v>
      </c>
      <c r="B10" s="72" t="s">
        <v>476</v>
      </c>
      <c r="C10" s="72" t="s">
        <v>477</v>
      </c>
      <c r="D10" s="72" t="s">
        <v>478</v>
      </c>
      <c r="E10" s="72" t="s">
        <v>479</v>
      </c>
      <c r="F10" s="72" t="s">
        <v>480</v>
      </c>
      <c r="G10" s="72" t="s">
        <v>481</v>
      </c>
      <c r="H10" s="203">
        <v>1</v>
      </c>
      <c r="I10" s="66"/>
    </row>
    <row r="11" spans="1:9" ht="55.95" customHeight="1">
      <c r="A11" s="72" t="s">
        <v>482</v>
      </c>
      <c r="B11" s="72" t="s">
        <v>483</v>
      </c>
      <c r="C11" s="72" t="s">
        <v>484</v>
      </c>
      <c r="D11" s="72" t="s">
        <v>485</v>
      </c>
      <c r="E11" s="72" t="s">
        <v>486</v>
      </c>
      <c r="F11" s="72" t="s">
        <v>487</v>
      </c>
      <c r="G11" s="72" t="s">
        <v>488</v>
      </c>
      <c r="H11" s="203">
        <v>1</v>
      </c>
      <c r="I11" s="66"/>
    </row>
    <row r="12" spans="1:9" ht="55.95" customHeight="1">
      <c r="A12" s="72" t="s">
        <v>489</v>
      </c>
      <c r="B12" s="72" t="s">
        <v>490</v>
      </c>
      <c r="C12" s="72" t="s">
        <v>491</v>
      </c>
      <c r="D12" s="72" t="s">
        <v>492</v>
      </c>
      <c r="E12" s="72" t="s">
        <v>493</v>
      </c>
      <c r="F12" s="72" t="s">
        <v>494</v>
      </c>
      <c r="G12" s="72" t="s">
        <v>495</v>
      </c>
      <c r="H12" s="203">
        <v>1</v>
      </c>
      <c r="I12" s="66"/>
    </row>
    <row r="13" spans="1:9">
      <c r="A13" s="66"/>
      <c r="B13" s="66"/>
      <c r="C13" s="66"/>
      <c r="D13" s="66"/>
      <c r="E13" s="66"/>
      <c r="F13" s="66"/>
      <c r="G13" s="66" t="s">
        <v>70</v>
      </c>
      <c r="H13" s="112">
        <f>(H6+H7+H8+H9+H10+H11+H12)/7</f>
        <v>1</v>
      </c>
      <c r="I13" s="112">
        <f>H13*20</f>
        <v>20</v>
      </c>
    </row>
    <row r="15" spans="1:9">
      <c r="A15" s="1" t="s">
        <v>71</v>
      </c>
      <c r="B15" s="1" t="s">
        <v>72</v>
      </c>
      <c r="D15" s="70" t="s">
        <v>637</v>
      </c>
      <c r="E15" s="70" t="s">
        <v>638</v>
      </c>
    </row>
    <row r="16" spans="1:9" ht="27.6">
      <c r="A16" s="2" t="s">
        <v>447</v>
      </c>
      <c r="B16" s="2" t="s">
        <v>496</v>
      </c>
      <c r="D16" s="105" t="s">
        <v>711</v>
      </c>
      <c r="E16" s="106" t="s">
        <v>712</v>
      </c>
    </row>
    <row r="17" spans="1:5" ht="27.6">
      <c r="A17" s="2" t="s">
        <v>454</v>
      </c>
      <c r="B17" s="2" t="s">
        <v>497</v>
      </c>
      <c r="D17" s="105" t="s">
        <v>713</v>
      </c>
      <c r="E17" s="106" t="s">
        <v>714</v>
      </c>
    </row>
    <row r="18" spans="1:5" ht="27.6">
      <c r="A18" s="2" t="s">
        <v>461</v>
      </c>
      <c r="B18" s="2" t="s">
        <v>498</v>
      </c>
      <c r="D18" s="105" t="s">
        <v>482</v>
      </c>
      <c r="E18" s="106" t="s">
        <v>715</v>
      </c>
    </row>
    <row r="19" spans="1:5" ht="27.6">
      <c r="A19" s="2" t="s">
        <v>468</v>
      </c>
      <c r="B19" s="2" t="s">
        <v>499</v>
      </c>
      <c r="D19" s="105" t="s">
        <v>716</v>
      </c>
      <c r="E19" s="106" t="s">
        <v>717</v>
      </c>
    </row>
    <row r="20" spans="1:5" ht="27.6">
      <c r="A20" s="2" t="s">
        <v>475</v>
      </c>
      <c r="B20" s="2" t="s">
        <v>500</v>
      </c>
      <c r="D20" s="105" t="s">
        <v>475</v>
      </c>
      <c r="E20" s="106" t="s">
        <v>718</v>
      </c>
    </row>
    <row r="21" spans="1:5" ht="27.6">
      <c r="A21" s="2" t="s">
        <v>482</v>
      </c>
      <c r="B21" s="2" t="s">
        <v>501</v>
      </c>
      <c r="D21" s="105" t="s">
        <v>719</v>
      </c>
      <c r="E21" s="106" t="s">
        <v>720</v>
      </c>
    </row>
    <row r="22" spans="1:5">
      <c r="A22" s="2" t="s">
        <v>489</v>
      </c>
      <c r="B22" s="2" t="s">
        <v>502</v>
      </c>
      <c r="D22" s="105" t="s">
        <v>721</v>
      </c>
      <c r="E22" s="106" t="s">
        <v>722</v>
      </c>
    </row>
    <row r="23" spans="1:5" ht="41.4">
      <c r="D23" s="200" t="s">
        <v>723</v>
      </c>
      <c r="E23" s="201" t="s">
        <v>724</v>
      </c>
    </row>
  </sheetData>
  <sheetProtection algorithmName="SHA-512" hashValue="Srp3gQTyU8AfacY4AewaQdXi6ByLDBEZBLpx3wLRlIu6lEVRCp7c/KSWRBHNGpJskF5x1WFWiljng3s6dQAoig==" saltValue="0pyr4SbVK9ojIIP2UR7ejA==" spinCount="100000" sheet="1" objects="1" scenarios="1"/>
  <mergeCells count="1">
    <mergeCell ref="A1:I4"/>
  </mergeCells>
  <conditionalFormatting sqref="H6:H12">
    <cfRule type="colorScale" priority="1">
      <colorScale>
        <cfvo type="min"/>
        <cfvo type="percentile" val="50"/>
        <cfvo type="max"/>
        <color rgb="FFF4CCCC"/>
        <color rgb="FFFFF2CC"/>
        <color rgb="FFD9EAD3"/>
      </colorScale>
    </cfRule>
  </conditionalFormatting>
  <dataValidations count="1">
    <dataValidation type="whole" showErrorMessage="1" error="يرجى ادخال رقم من 1 الى 5 فقط" sqref="H6:H12">
      <formula1>1</formula1>
      <formula2>5</formula2>
    </dataValidation>
  </dataValidation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6"/>
  <sheetViews>
    <sheetView rightToLeft="1" topLeftCell="A7" workbookViewId="0">
      <selection activeCell="F9" sqref="F9"/>
    </sheetView>
  </sheetViews>
  <sheetFormatPr defaultRowHeight="13.8"/>
  <cols>
    <col min="1" max="1" width="25.19921875" customWidth="1"/>
    <col min="2" max="2" width="9.8984375" customWidth="1"/>
    <col min="3" max="3" width="30.59765625" customWidth="1"/>
    <col min="4" max="4" width="63" customWidth="1"/>
    <col min="5" max="5" width="25.19921875" customWidth="1"/>
    <col min="6" max="6" width="16.19921875" customWidth="1"/>
    <col min="7" max="7" width="27" customWidth="1"/>
  </cols>
  <sheetData>
    <row r="1" spans="1:7" s="107" customFormat="1">
      <c r="A1" s="150"/>
      <c r="B1" s="150"/>
      <c r="C1" s="150"/>
      <c r="D1" s="150"/>
      <c r="E1" s="150"/>
      <c r="F1" s="150"/>
      <c r="G1" s="150"/>
    </row>
    <row r="2" spans="1:7" s="107" customFormat="1">
      <c r="A2" s="150"/>
      <c r="B2" s="150"/>
      <c r="C2" s="150"/>
      <c r="D2" s="150"/>
      <c r="E2" s="150"/>
      <c r="F2" s="150"/>
      <c r="G2" s="150"/>
    </row>
    <row r="3" spans="1:7" s="107" customFormat="1">
      <c r="A3" s="150"/>
      <c r="B3" s="150"/>
      <c r="C3" s="150"/>
      <c r="D3" s="150"/>
      <c r="E3" s="150"/>
      <c r="F3" s="150"/>
      <c r="G3" s="150"/>
    </row>
    <row r="4" spans="1:7" s="107" customFormat="1">
      <c r="A4" s="150"/>
      <c r="B4" s="150"/>
      <c r="C4" s="150"/>
      <c r="D4" s="150"/>
      <c r="E4" s="150"/>
      <c r="F4" s="150"/>
      <c r="G4" s="150"/>
    </row>
    <row r="5" spans="1:7" ht="28.05" customHeight="1">
      <c r="A5" s="154" t="s">
        <v>725</v>
      </c>
      <c r="B5" s="155"/>
      <c r="C5" s="155"/>
      <c r="D5" s="155"/>
      <c r="E5" s="155"/>
      <c r="F5" s="155"/>
      <c r="G5" s="155"/>
    </row>
    <row r="6" spans="1:7" ht="34.049999999999997" customHeight="1">
      <c r="A6" s="156" t="s">
        <v>726</v>
      </c>
      <c r="B6" s="155"/>
      <c r="C6" s="155"/>
      <c r="D6" s="155"/>
      <c r="E6" s="155"/>
      <c r="F6" s="155"/>
      <c r="G6" s="155"/>
    </row>
    <row r="8" spans="1:7" ht="34.049999999999997" customHeight="1">
      <c r="A8" s="108" t="s">
        <v>519</v>
      </c>
      <c r="B8" s="108" t="s">
        <v>727</v>
      </c>
      <c r="C8" s="108" t="s">
        <v>520</v>
      </c>
      <c r="D8" s="108" t="s">
        <v>728</v>
      </c>
      <c r="E8" s="108" t="s">
        <v>729</v>
      </c>
      <c r="F8" s="108" t="s">
        <v>730</v>
      </c>
      <c r="G8" s="108" t="s">
        <v>731</v>
      </c>
    </row>
    <row r="9" spans="1:7" ht="42" customHeight="1">
      <c r="A9" s="109" t="s">
        <v>511</v>
      </c>
      <c r="B9" s="109" t="s">
        <v>732</v>
      </c>
      <c r="C9" s="109" t="s">
        <v>28</v>
      </c>
      <c r="D9" s="109" t="s">
        <v>733</v>
      </c>
      <c r="E9" s="109"/>
      <c r="F9" s="109"/>
      <c r="G9" s="109"/>
    </row>
    <row r="10" spans="1:7" ht="42" customHeight="1">
      <c r="A10" s="110" t="s">
        <v>511</v>
      </c>
      <c r="B10" s="110" t="s">
        <v>734</v>
      </c>
      <c r="C10" s="110" t="s">
        <v>35</v>
      </c>
      <c r="D10" s="110" t="s">
        <v>735</v>
      </c>
      <c r="E10" s="110"/>
      <c r="F10" s="110"/>
      <c r="G10" s="110"/>
    </row>
    <row r="11" spans="1:7" ht="42" customHeight="1">
      <c r="A11" s="109" t="s">
        <v>511</v>
      </c>
      <c r="B11" s="109" t="s">
        <v>736</v>
      </c>
      <c r="C11" s="109" t="s">
        <v>42</v>
      </c>
      <c r="D11" s="109" t="s">
        <v>737</v>
      </c>
      <c r="E11" s="109"/>
      <c r="F11" s="109"/>
      <c r="G11" s="109"/>
    </row>
    <row r="12" spans="1:7" ht="42" customHeight="1">
      <c r="A12" s="110" t="s">
        <v>511</v>
      </c>
      <c r="B12" s="110" t="s">
        <v>738</v>
      </c>
      <c r="C12" s="110" t="s">
        <v>49</v>
      </c>
      <c r="D12" s="110" t="s">
        <v>739</v>
      </c>
      <c r="E12" s="110"/>
      <c r="F12" s="110"/>
      <c r="G12" s="110"/>
    </row>
    <row r="13" spans="1:7" ht="42" customHeight="1">
      <c r="A13" s="109" t="s">
        <v>511</v>
      </c>
      <c r="B13" s="109" t="s">
        <v>740</v>
      </c>
      <c r="C13" s="109" t="s">
        <v>56</v>
      </c>
      <c r="D13" s="109" t="s">
        <v>741</v>
      </c>
      <c r="E13" s="109"/>
      <c r="F13" s="109"/>
      <c r="G13" s="109"/>
    </row>
    <row r="14" spans="1:7" ht="42" customHeight="1">
      <c r="A14" s="110" t="s">
        <v>511</v>
      </c>
      <c r="B14" s="110" t="s">
        <v>742</v>
      </c>
      <c r="C14" s="110" t="s">
        <v>63</v>
      </c>
      <c r="D14" s="110" t="s">
        <v>743</v>
      </c>
      <c r="E14" s="110"/>
      <c r="F14" s="110"/>
      <c r="G14" s="110"/>
    </row>
    <row r="15" spans="1:7" ht="42" customHeight="1">
      <c r="A15" s="109" t="s">
        <v>79</v>
      </c>
      <c r="B15" s="109" t="s">
        <v>732</v>
      </c>
      <c r="C15" s="109" t="s">
        <v>80</v>
      </c>
      <c r="D15" s="109" t="s">
        <v>744</v>
      </c>
      <c r="E15" s="109"/>
      <c r="F15" s="109"/>
      <c r="G15" s="109"/>
    </row>
    <row r="16" spans="1:7" ht="42" customHeight="1">
      <c r="A16" s="110" t="s">
        <v>79</v>
      </c>
      <c r="B16" s="110" t="s">
        <v>734</v>
      </c>
      <c r="C16" s="110" t="s">
        <v>87</v>
      </c>
      <c r="D16" s="110" t="s">
        <v>745</v>
      </c>
      <c r="E16" s="110"/>
      <c r="F16" s="110"/>
      <c r="G16" s="110"/>
    </row>
    <row r="17" spans="1:7" ht="42" customHeight="1">
      <c r="A17" s="109" t="s">
        <v>79</v>
      </c>
      <c r="B17" s="109" t="s">
        <v>736</v>
      </c>
      <c r="C17" s="109" t="s">
        <v>94</v>
      </c>
      <c r="D17" s="109" t="s">
        <v>746</v>
      </c>
      <c r="E17" s="109"/>
      <c r="F17" s="109"/>
      <c r="G17" s="109"/>
    </row>
    <row r="18" spans="1:7" ht="42" customHeight="1">
      <c r="A18" s="110" t="s">
        <v>79</v>
      </c>
      <c r="B18" s="110" t="s">
        <v>738</v>
      </c>
      <c r="C18" s="110" t="s">
        <v>101</v>
      </c>
      <c r="D18" s="110" t="s">
        <v>747</v>
      </c>
      <c r="E18" s="110"/>
      <c r="F18" s="110"/>
      <c r="G18" s="110"/>
    </row>
    <row r="19" spans="1:7" ht="42" customHeight="1">
      <c r="A19" s="109" t="s">
        <v>79</v>
      </c>
      <c r="B19" s="109" t="s">
        <v>740</v>
      </c>
      <c r="C19" s="109" t="s">
        <v>108</v>
      </c>
      <c r="D19" s="109" t="s">
        <v>748</v>
      </c>
      <c r="E19" s="109"/>
      <c r="F19" s="109"/>
      <c r="G19" s="109"/>
    </row>
    <row r="20" spans="1:7" ht="42" customHeight="1">
      <c r="A20" s="110" t="s">
        <v>79</v>
      </c>
      <c r="B20" s="110" t="s">
        <v>742</v>
      </c>
      <c r="C20" s="110" t="s">
        <v>115</v>
      </c>
      <c r="D20" s="110" t="s">
        <v>749</v>
      </c>
      <c r="E20" s="110"/>
      <c r="F20" s="110"/>
      <c r="G20" s="110"/>
    </row>
    <row r="21" spans="1:7" ht="42" customHeight="1">
      <c r="A21" s="109" t="s">
        <v>79</v>
      </c>
      <c r="B21" s="109" t="s">
        <v>750</v>
      </c>
      <c r="C21" s="109" t="s">
        <v>122</v>
      </c>
      <c r="D21" s="109" t="s">
        <v>751</v>
      </c>
      <c r="E21" s="109"/>
      <c r="F21" s="109"/>
      <c r="G21" s="109"/>
    </row>
    <row r="22" spans="1:7" ht="42" customHeight="1">
      <c r="A22" s="110" t="s">
        <v>79</v>
      </c>
      <c r="B22" s="110" t="s">
        <v>752</v>
      </c>
      <c r="C22" s="110" t="s">
        <v>129</v>
      </c>
      <c r="D22" s="110" t="s">
        <v>753</v>
      </c>
      <c r="E22" s="110"/>
      <c r="F22" s="110"/>
      <c r="G22" s="110"/>
    </row>
    <row r="23" spans="1:7" ht="42" customHeight="1">
      <c r="A23" s="109" t="s">
        <v>79</v>
      </c>
      <c r="B23" s="109" t="s">
        <v>754</v>
      </c>
      <c r="C23" s="109" t="s">
        <v>136</v>
      </c>
      <c r="D23" s="109" t="s">
        <v>755</v>
      </c>
      <c r="E23" s="109"/>
      <c r="F23" s="109"/>
      <c r="G23" s="109"/>
    </row>
    <row r="24" spans="1:7" ht="42" customHeight="1">
      <c r="A24" s="110" t="s">
        <v>152</v>
      </c>
      <c r="B24" s="110" t="s">
        <v>732</v>
      </c>
      <c r="C24" s="110" t="s">
        <v>153</v>
      </c>
      <c r="D24" s="110" t="s">
        <v>756</v>
      </c>
      <c r="E24" s="110"/>
      <c r="F24" s="110"/>
      <c r="G24" s="110"/>
    </row>
    <row r="25" spans="1:7" ht="42" customHeight="1">
      <c r="A25" s="109" t="s">
        <v>152</v>
      </c>
      <c r="B25" s="109" t="s">
        <v>734</v>
      </c>
      <c r="C25" s="109" t="s">
        <v>160</v>
      </c>
      <c r="D25" s="109" t="s">
        <v>757</v>
      </c>
      <c r="E25" s="109"/>
      <c r="F25" s="109"/>
      <c r="G25" s="109"/>
    </row>
    <row r="26" spans="1:7" ht="42" customHeight="1">
      <c r="A26" s="110" t="s">
        <v>152</v>
      </c>
      <c r="B26" s="110" t="s">
        <v>736</v>
      </c>
      <c r="C26" s="110" t="s">
        <v>167</v>
      </c>
      <c r="D26" s="110" t="s">
        <v>758</v>
      </c>
      <c r="E26" s="110"/>
      <c r="F26" s="110"/>
      <c r="G26" s="110"/>
    </row>
    <row r="27" spans="1:7" ht="42" customHeight="1">
      <c r="A27" s="109" t="s">
        <v>152</v>
      </c>
      <c r="B27" s="109" t="s">
        <v>738</v>
      </c>
      <c r="C27" s="109" t="s">
        <v>174</v>
      </c>
      <c r="D27" s="109" t="s">
        <v>759</v>
      </c>
      <c r="E27" s="109"/>
      <c r="F27" s="109"/>
      <c r="G27" s="109"/>
    </row>
    <row r="28" spans="1:7" ht="42" customHeight="1">
      <c r="A28" s="110" t="s">
        <v>152</v>
      </c>
      <c r="B28" s="110" t="s">
        <v>740</v>
      </c>
      <c r="C28" s="110" t="s">
        <v>181</v>
      </c>
      <c r="D28" s="110" t="s">
        <v>760</v>
      </c>
      <c r="E28" s="110"/>
      <c r="F28" s="110"/>
      <c r="G28" s="110"/>
    </row>
    <row r="29" spans="1:7" ht="42" customHeight="1">
      <c r="A29" s="109" t="s">
        <v>152</v>
      </c>
      <c r="B29" s="109" t="s">
        <v>742</v>
      </c>
      <c r="C29" s="109" t="s">
        <v>188</v>
      </c>
      <c r="D29" s="109" t="s">
        <v>761</v>
      </c>
      <c r="E29" s="109"/>
      <c r="F29" s="109"/>
      <c r="G29" s="109"/>
    </row>
    <row r="30" spans="1:7" ht="42" customHeight="1">
      <c r="A30" s="110" t="s">
        <v>152</v>
      </c>
      <c r="B30" s="110" t="s">
        <v>750</v>
      </c>
      <c r="C30" s="110" t="s">
        <v>195</v>
      </c>
      <c r="D30" s="110" t="s">
        <v>762</v>
      </c>
      <c r="E30" s="110"/>
      <c r="F30" s="110"/>
      <c r="G30" s="110"/>
    </row>
    <row r="31" spans="1:7" ht="42" customHeight="1">
      <c r="A31" s="109" t="s">
        <v>209</v>
      </c>
      <c r="B31" s="109" t="s">
        <v>732</v>
      </c>
      <c r="C31" s="109" t="s">
        <v>210</v>
      </c>
      <c r="D31" s="109" t="s">
        <v>763</v>
      </c>
      <c r="E31" s="109"/>
      <c r="F31" s="109"/>
      <c r="G31" s="109"/>
    </row>
    <row r="32" spans="1:7" ht="42" customHeight="1">
      <c r="A32" s="110" t="s">
        <v>209</v>
      </c>
      <c r="B32" s="110" t="s">
        <v>734</v>
      </c>
      <c r="C32" s="110" t="s">
        <v>217</v>
      </c>
      <c r="D32" s="110" t="s">
        <v>764</v>
      </c>
      <c r="E32" s="110"/>
      <c r="F32" s="110"/>
      <c r="G32" s="110"/>
    </row>
    <row r="33" spans="1:7" ht="42" customHeight="1">
      <c r="A33" s="109" t="s">
        <v>209</v>
      </c>
      <c r="B33" s="109" t="s">
        <v>736</v>
      </c>
      <c r="C33" s="109" t="s">
        <v>224</v>
      </c>
      <c r="D33" s="109" t="s">
        <v>765</v>
      </c>
      <c r="E33" s="109"/>
      <c r="F33" s="109"/>
      <c r="G33" s="109"/>
    </row>
    <row r="34" spans="1:7" ht="42" customHeight="1">
      <c r="A34" s="110" t="s">
        <v>209</v>
      </c>
      <c r="B34" s="110" t="s">
        <v>738</v>
      </c>
      <c r="C34" s="110" t="s">
        <v>231</v>
      </c>
      <c r="D34" s="110" t="s">
        <v>766</v>
      </c>
      <c r="E34" s="110"/>
      <c r="F34" s="110"/>
      <c r="G34" s="110"/>
    </row>
    <row r="35" spans="1:7" ht="42" customHeight="1">
      <c r="A35" s="109" t="s">
        <v>209</v>
      </c>
      <c r="B35" s="109" t="s">
        <v>740</v>
      </c>
      <c r="C35" s="109" t="s">
        <v>238</v>
      </c>
      <c r="D35" s="109" t="s">
        <v>767</v>
      </c>
      <c r="E35" s="109"/>
      <c r="F35" s="109"/>
      <c r="G35" s="109"/>
    </row>
    <row r="36" spans="1:7" ht="42" customHeight="1">
      <c r="A36" s="110" t="s">
        <v>209</v>
      </c>
      <c r="B36" s="110" t="s">
        <v>742</v>
      </c>
      <c r="C36" s="110" t="s">
        <v>245</v>
      </c>
      <c r="D36" s="110" t="s">
        <v>768</v>
      </c>
      <c r="E36" s="110"/>
      <c r="F36" s="110"/>
      <c r="G36" s="110"/>
    </row>
    <row r="37" spans="1:7" ht="42" customHeight="1">
      <c r="A37" s="109" t="s">
        <v>258</v>
      </c>
      <c r="B37" s="109" t="s">
        <v>732</v>
      </c>
      <c r="C37" s="109" t="s">
        <v>259</v>
      </c>
      <c r="D37" s="109" t="s">
        <v>769</v>
      </c>
      <c r="E37" s="109"/>
      <c r="F37" s="109"/>
      <c r="G37" s="109"/>
    </row>
    <row r="38" spans="1:7" ht="42" customHeight="1">
      <c r="A38" s="110" t="s">
        <v>258</v>
      </c>
      <c r="B38" s="110" t="s">
        <v>734</v>
      </c>
      <c r="C38" s="110" t="s">
        <v>266</v>
      </c>
      <c r="D38" s="110" t="s">
        <v>770</v>
      </c>
      <c r="E38" s="110"/>
      <c r="F38" s="110"/>
      <c r="G38" s="110"/>
    </row>
    <row r="39" spans="1:7" ht="42" customHeight="1">
      <c r="A39" s="109" t="s">
        <v>258</v>
      </c>
      <c r="B39" s="109" t="s">
        <v>736</v>
      </c>
      <c r="C39" s="109" t="s">
        <v>273</v>
      </c>
      <c r="D39" s="109" t="s">
        <v>771</v>
      </c>
      <c r="E39" s="109"/>
      <c r="F39" s="109"/>
      <c r="G39" s="109"/>
    </row>
    <row r="40" spans="1:7" ht="42" customHeight="1">
      <c r="A40" s="110" t="s">
        <v>258</v>
      </c>
      <c r="B40" s="110" t="s">
        <v>738</v>
      </c>
      <c r="C40" s="110" t="s">
        <v>280</v>
      </c>
      <c r="D40" s="110" t="s">
        <v>772</v>
      </c>
      <c r="E40" s="110"/>
      <c r="F40" s="110"/>
      <c r="G40" s="110"/>
    </row>
    <row r="41" spans="1:7" ht="42" customHeight="1">
      <c r="A41" s="109" t="s">
        <v>258</v>
      </c>
      <c r="B41" s="109" t="s">
        <v>740</v>
      </c>
      <c r="C41" s="109" t="s">
        <v>287</v>
      </c>
      <c r="D41" s="109" t="s">
        <v>773</v>
      </c>
      <c r="E41" s="109"/>
      <c r="F41" s="109"/>
      <c r="G41" s="109"/>
    </row>
    <row r="42" spans="1:7" ht="42" customHeight="1">
      <c r="A42" s="110" t="s">
        <v>258</v>
      </c>
      <c r="B42" s="110" t="s">
        <v>742</v>
      </c>
      <c r="C42" s="110" t="s">
        <v>294</v>
      </c>
      <c r="D42" s="110" t="s">
        <v>774</v>
      </c>
      <c r="E42" s="110"/>
      <c r="F42" s="110"/>
      <c r="G42" s="110"/>
    </row>
    <row r="43" spans="1:7" ht="42" customHeight="1">
      <c r="A43" s="109" t="s">
        <v>307</v>
      </c>
      <c r="B43" s="109" t="s">
        <v>732</v>
      </c>
      <c r="C43" s="109" t="s">
        <v>308</v>
      </c>
      <c r="D43" s="109" t="s">
        <v>775</v>
      </c>
      <c r="E43" s="109"/>
      <c r="F43" s="109"/>
      <c r="G43" s="109"/>
    </row>
    <row r="44" spans="1:7" ht="42" customHeight="1">
      <c r="A44" s="110" t="s">
        <v>307</v>
      </c>
      <c r="B44" s="110" t="s">
        <v>734</v>
      </c>
      <c r="C44" s="110" t="s">
        <v>315</v>
      </c>
      <c r="D44" s="110" t="s">
        <v>776</v>
      </c>
      <c r="E44" s="110"/>
      <c r="F44" s="110"/>
      <c r="G44" s="110"/>
    </row>
    <row r="45" spans="1:7" ht="42" customHeight="1">
      <c r="A45" s="109" t="s">
        <v>307</v>
      </c>
      <c r="B45" s="109" t="s">
        <v>736</v>
      </c>
      <c r="C45" s="109" t="s">
        <v>322</v>
      </c>
      <c r="D45" s="109" t="s">
        <v>777</v>
      </c>
      <c r="E45" s="109"/>
      <c r="F45" s="109"/>
      <c r="G45" s="109"/>
    </row>
    <row r="46" spans="1:7" ht="42" customHeight="1">
      <c r="A46" s="110" t="s">
        <v>307</v>
      </c>
      <c r="B46" s="110" t="s">
        <v>738</v>
      </c>
      <c r="C46" s="110" t="s">
        <v>329</v>
      </c>
      <c r="D46" s="110" t="s">
        <v>778</v>
      </c>
      <c r="E46" s="110"/>
      <c r="F46" s="110"/>
      <c r="G46" s="110"/>
    </row>
    <row r="47" spans="1:7" ht="42" customHeight="1">
      <c r="A47" s="109" t="s">
        <v>307</v>
      </c>
      <c r="B47" s="109" t="s">
        <v>740</v>
      </c>
      <c r="C47" s="109" t="s">
        <v>336</v>
      </c>
      <c r="D47" s="109" t="s">
        <v>779</v>
      </c>
      <c r="E47" s="109"/>
      <c r="F47" s="109"/>
      <c r="G47" s="109"/>
    </row>
    <row r="48" spans="1:7" ht="42" customHeight="1">
      <c r="A48" s="110" t="s">
        <v>348</v>
      </c>
      <c r="B48" s="110" t="s">
        <v>732</v>
      </c>
      <c r="C48" s="110" t="s">
        <v>349</v>
      </c>
      <c r="D48" s="110" t="s">
        <v>780</v>
      </c>
      <c r="E48" s="110"/>
      <c r="F48" s="110"/>
      <c r="G48" s="110"/>
    </row>
    <row r="49" spans="1:7" ht="42" customHeight="1">
      <c r="A49" s="109" t="s">
        <v>348</v>
      </c>
      <c r="B49" s="109" t="s">
        <v>734</v>
      </c>
      <c r="C49" s="109" t="s">
        <v>356</v>
      </c>
      <c r="D49" s="109" t="s">
        <v>781</v>
      </c>
      <c r="E49" s="109"/>
      <c r="F49" s="109"/>
      <c r="G49" s="109"/>
    </row>
    <row r="50" spans="1:7" ht="42" customHeight="1">
      <c r="A50" s="110" t="s">
        <v>348</v>
      </c>
      <c r="B50" s="110" t="s">
        <v>736</v>
      </c>
      <c r="C50" s="110" t="s">
        <v>363</v>
      </c>
      <c r="D50" s="110" t="s">
        <v>782</v>
      </c>
      <c r="E50" s="110"/>
      <c r="F50" s="110"/>
      <c r="G50" s="110"/>
    </row>
    <row r="51" spans="1:7" ht="42" customHeight="1">
      <c r="A51" s="109" t="s">
        <v>348</v>
      </c>
      <c r="B51" s="109" t="s">
        <v>738</v>
      </c>
      <c r="C51" s="109" t="s">
        <v>370</v>
      </c>
      <c r="D51" s="109" t="s">
        <v>783</v>
      </c>
      <c r="E51" s="109"/>
      <c r="F51" s="109"/>
      <c r="G51" s="109"/>
    </row>
    <row r="52" spans="1:7" ht="42" customHeight="1">
      <c r="A52" s="110" t="s">
        <v>348</v>
      </c>
      <c r="B52" s="110" t="s">
        <v>740</v>
      </c>
      <c r="C52" s="110" t="s">
        <v>377</v>
      </c>
      <c r="D52" s="110" t="s">
        <v>784</v>
      </c>
      <c r="E52" s="110"/>
      <c r="F52" s="110"/>
      <c r="G52" s="110"/>
    </row>
    <row r="53" spans="1:7" ht="42" customHeight="1">
      <c r="A53" s="109" t="s">
        <v>389</v>
      </c>
      <c r="B53" s="109" t="s">
        <v>732</v>
      </c>
      <c r="C53" s="109" t="s">
        <v>390</v>
      </c>
      <c r="D53" s="109" t="s">
        <v>785</v>
      </c>
      <c r="E53" s="109"/>
      <c r="F53" s="109"/>
      <c r="G53" s="109"/>
    </row>
    <row r="54" spans="1:7" ht="42" customHeight="1">
      <c r="A54" s="110" t="s">
        <v>389</v>
      </c>
      <c r="B54" s="110" t="s">
        <v>734</v>
      </c>
      <c r="C54" s="110" t="s">
        <v>397</v>
      </c>
      <c r="D54" s="110" t="s">
        <v>786</v>
      </c>
      <c r="E54" s="110"/>
      <c r="F54" s="110"/>
      <c r="G54" s="110"/>
    </row>
    <row r="55" spans="1:7" ht="42" customHeight="1">
      <c r="A55" s="109" t="s">
        <v>389</v>
      </c>
      <c r="B55" s="109" t="s">
        <v>736</v>
      </c>
      <c r="C55" s="109" t="s">
        <v>404</v>
      </c>
      <c r="D55" s="109" t="s">
        <v>787</v>
      </c>
      <c r="E55" s="109"/>
      <c r="F55" s="109"/>
      <c r="G55" s="109"/>
    </row>
    <row r="56" spans="1:7" ht="42" customHeight="1">
      <c r="A56" s="110" t="s">
        <v>389</v>
      </c>
      <c r="B56" s="110" t="s">
        <v>738</v>
      </c>
      <c r="C56" s="110" t="s">
        <v>411</v>
      </c>
      <c r="D56" s="110" t="s">
        <v>788</v>
      </c>
      <c r="E56" s="110"/>
      <c r="F56" s="110"/>
      <c r="G56" s="110"/>
    </row>
    <row r="57" spans="1:7" ht="42" customHeight="1">
      <c r="A57" s="109" t="s">
        <v>389</v>
      </c>
      <c r="B57" s="109" t="s">
        <v>740</v>
      </c>
      <c r="C57" s="109" t="s">
        <v>418</v>
      </c>
      <c r="D57" s="109" t="s">
        <v>789</v>
      </c>
      <c r="E57" s="109"/>
      <c r="F57" s="109"/>
      <c r="G57" s="109"/>
    </row>
    <row r="58" spans="1:7" ht="42" customHeight="1">
      <c r="A58" s="110" t="s">
        <v>389</v>
      </c>
      <c r="B58" s="110" t="s">
        <v>742</v>
      </c>
      <c r="C58" s="110" t="s">
        <v>425</v>
      </c>
      <c r="D58" s="110" t="s">
        <v>790</v>
      </c>
      <c r="E58" s="110"/>
      <c r="F58" s="110"/>
      <c r="G58" s="110"/>
    </row>
    <row r="59" spans="1:7" ht="42" customHeight="1">
      <c r="A59" s="109" t="s">
        <v>389</v>
      </c>
      <c r="B59" s="109" t="s">
        <v>750</v>
      </c>
      <c r="C59" s="109" t="s">
        <v>432</v>
      </c>
      <c r="D59" s="109" t="s">
        <v>791</v>
      </c>
      <c r="E59" s="109"/>
      <c r="F59" s="109"/>
      <c r="G59" s="109"/>
    </row>
    <row r="60" spans="1:7" ht="42" customHeight="1">
      <c r="A60" s="110" t="s">
        <v>446</v>
      </c>
      <c r="B60" s="110" t="s">
        <v>732</v>
      </c>
      <c r="C60" s="110" t="s">
        <v>447</v>
      </c>
      <c r="D60" s="110" t="s">
        <v>792</v>
      </c>
      <c r="E60" s="110"/>
      <c r="F60" s="110"/>
      <c r="G60" s="110"/>
    </row>
    <row r="61" spans="1:7" ht="42" customHeight="1">
      <c r="A61" s="109" t="s">
        <v>446</v>
      </c>
      <c r="B61" s="109" t="s">
        <v>734</v>
      </c>
      <c r="C61" s="109" t="s">
        <v>454</v>
      </c>
      <c r="D61" s="109" t="s">
        <v>793</v>
      </c>
      <c r="E61" s="109"/>
      <c r="F61" s="109"/>
      <c r="G61" s="109"/>
    </row>
    <row r="62" spans="1:7" ht="42" customHeight="1">
      <c r="A62" s="110" t="s">
        <v>446</v>
      </c>
      <c r="B62" s="110" t="s">
        <v>736</v>
      </c>
      <c r="C62" s="110" t="s">
        <v>461</v>
      </c>
      <c r="D62" s="110" t="s">
        <v>794</v>
      </c>
      <c r="E62" s="110"/>
      <c r="F62" s="110"/>
      <c r="G62" s="110"/>
    </row>
    <row r="63" spans="1:7" ht="42" customHeight="1">
      <c r="A63" s="109" t="s">
        <v>446</v>
      </c>
      <c r="B63" s="109" t="s">
        <v>738</v>
      </c>
      <c r="C63" s="109" t="s">
        <v>468</v>
      </c>
      <c r="D63" s="109" t="s">
        <v>795</v>
      </c>
      <c r="E63" s="109"/>
      <c r="F63" s="109"/>
      <c r="G63" s="109"/>
    </row>
    <row r="64" spans="1:7" ht="42" customHeight="1">
      <c r="A64" s="110" t="s">
        <v>446</v>
      </c>
      <c r="B64" s="110" t="s">
        <v>740</v>
      </c>
      <c r="C64" s="110" t="s">
        <v>475</v>
      </c>
      <c r="D64" s="110" t="s">
        <v>796</v>
      </c>
      <c r="E64" s="110"/>
      <c r="F64" s="110"/>
      <c r="G64" s="110"/>
    </row>
    <row r="65" spans="1:7" ht="42" customHeight="1">
      <c r="A65" s="109" t="s">
        <v>446</v>
      </c>
      <c r="B65" s="109" t="s">
        <v>742</v>
      </c>
      <c r="C65" s="109" t="s">
        <v>482</v>
      </c>
      <c r="D65" s="109" t="s">
        <v>797</v>
      </c>
      <c r="E65" s="109"/>
      <c r="F65" s="109"/>
      <c r="G65" s="109"/>
    </row>
    <row r="66" spans="1:7" ht="42" customHeight="1">
      <c r="A66" s="110" t="s">
        <v>446</v>
      </c>
      <c r="B66" s="110" t="s">
        <v>750</v>
      </c>
      <c r="C66" s="110" t="s">
        <v>489</v>
      </c>
      <c r="D66" s="110" t="s">
        <v>798</v>
      </c>
      <c r="E66" s="110"/>
      <c r="F66" s="110"/>
      <c r="G66" s="110"/>
    </row>
  </sheetData>
  <mergeCells count="3">
    <mergeCell ref="A5:G5"/>
    <mergeCell ref="A6:G6"/>
    <mergeCell ref="A1:G4"/>
  </mergeCells>
  <dataValidations count="1">
    <dataValidation type="list" allowBlank="1" errorTitle="حالة غير صحيحة" error="يرجى اختيار حالة من القائمة." promptTitle="حالة التحقق" prompt="اختاري حالة التحقق من القائمة." sqref="F9:F66">
      <formula1>"تم التحقق,قيد المراجعة,غير موجود,جزئي,غير مطلوب"</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rightToLeft="1" workbookViewId="0">
      <selection activeCell="E6" sqref="E6"/>
    </sheetView>
  </sheetViews>
  <sheetFormatPr defaultRowHeight="13.8"/>
  <cols>
    <col min="1" max="1" width="35" customWidth="1"/>
    <col min="2" max="2" width="14" customWidth="1"/>
    <col min="3" max="3" width="16" customWidth="1"/>
    <col min="4" max="4" width="96.19921875" customWidth="1"/>
    <col min="5" max="5" width="18.796875" customWidth="1"/>
  </cols>
  <sheetData>
    <row r="1" spans="1:5" s="107" customFormat="1">
      <c r="A1" s="150"/>
      <c r="B1" s="150"/>
      <c r="C1" s="150"/>
      <c r="D1" s="150"/>
      <c r="E1" s="150"/>
    </row>
    <row r="2" spans="1:5" s="107" customFormat="1">
      <c r="A2" s="150"/>
      <c r="B2" s="150"/>
      <c r="C2" s="150"/>
      <c r="D2" s="150"/>
      <c r="E2" s="150"/>
    </row>
    <row r="3" spans="1:5" s="107" customFormat="1">
      <c r="A3" s="150"/>
      <c r="B3" s="150"/>
      <c r="C3" s="150"/>
      <c r="D3" s="150"/>
      <c r="E3" s="150"/>
    </row>
    <row r="4" spans="1:5" s="107" customFormat="1">
      <c r="A4" s="151"/>
      <c r="B4" s="151"/>
      <c r="C4" s="151"/>
      <c r="D4" s="151"/>
      <c r="E4" s="151"/>
    </row>
    <row r="5" spans="1:5">
      <c r="A5" s="70" t="s">
        <v>626</v>
      </c>
      <c r="B5" s="70" t="s">
        <v>503</v>
      </c>
      <c r="C5" s="70" t="s">
        <v>504</v>
      </c>
      <c r="D5" s="70" t="s">
        <v>1</v>
      </c>
      <c r="E5" s="111" t="s">
        <v>620</v>
      </c>
    </row>
    <row r="6" spans="1:5">
      <c r="A6" s="73" t="s">
        <v>21</v>
      </c>
      <c r="B6" s="73">
        <v>6</v>
      </c>
      <c r="C6" s="73">
        <f>'الترويج والخبرة في تعلم الكبار'!H11</f>
        <v>1</v>
      </c>
      <c r="D6" s="74" t="str">
        <f t="shared" ref="D6:D14" si="0">IF(C6="","",IF(C6&lt;1.5,"ناشئ",IF(C6&lt;2.5,"أولي",IF(C6&lt;3.5,"أساسي",IF(C6&lt;4.5,"منظم","ديناميكي")))))</f>
        <v>ناشئ</v>
      </c>
      <c r="E6" s="112">
        <f>'الترويج والخبرة في تعلم الكبار'!I11</f>
        <v>20</v>
      </c>
    </row>
    <row r="7" spans="1:5">
      <c r="A7" s="73" t="s">
        <v>79</v>
      </c>
      <c r="B7" s="73">
        <v>9</v>
      </c>
      <c r="C7" s="73">
        <f>'برامج تعلم وتعليم الكبار'!H15</f>
        <v>1</v>
      </c>
      <c r="D7" s="74" t="str">
        <f t="shared" si="0"/>
        <v>ناشئ</v>
      </c>
      <c r="E7" s="112">
        <f>'برامج تعلم وتعليم الكبار'!I15</f>
        <v>20</v>
      </c>
    </row>
    <row r="8" spans="1:5">
      <c r="A8" s="73" t="s">
        <v>152</v>
      </c>
      <c r="B8" s="73">
        <v>7</v>
      </c>
      <c r="C8" s="73">
        <f>'البحث المجتمعي والتواصل'!H13</f>
        <v>1</v>
      </c>
      <c r="D8" s="74" t="str">
        <f t="shared" si="0"/>
        <v>ناشئ</v>
      </c>
      <c r="E8" s="112">
        <f>'البحث المجتمعي والتواصل'!I13</f>
        <v>20</v>
      </c>
    </row>
    <row r="9" spans="1:5">
      <c r="A9" s="73" t="s">
        <v>209</v>
      </c>
      <c r="B9" s="73">
        <v>6</v>
      </c>
      <c r="C9" s="73">
        <f>'التواصل والمناصرة'!H12</f>
        <v>1</v>
      </c>
      <c r="D9" s="74" t="str">
        <f t="shared" si="0"/>
        <v>ناشئ</v>
      </c>
      <c r="E9" s="112">
        <f>'التواصل والمناصرة'!I12</f>
        <v>20</v>
      </c>
    </row>
    <row r="10" spans="1:5">
      <c r="A10" s="73" t="s">
        <v>258</v>
      </c>
      <c r="B10" s="73">
        <v>6</v>
      </c>
      <c r="C10" s="73">
        <f>'الموارد البشرية'!H12</f>
        <v>1</v>
      </c>
      <c r="D10" s="74" t="str">
        <f t="shared" si="0"/>
        <v>ناشئ</v>
      </c>
      <c r="E10" s="112">
        <f>'الموارد البشرية'!I12</f>
        <v>20</v>
      </c>
    </row>
    <row r="11" spans="1:5">
      <c r="A11" s="73" t="s">
        <v>307</v>
      </c>
      <c r="B11" s="73">
        <v>5</v>
      </c>
      <c r="C11" s="73">
        <f>' التمويل وكتابة المشاريع'!H11</f>
        <v>1</v>
      </c>
      <c r="D11" s="74" t="str">
        <f t="shared" si="0"/>
        <v>ناشئ</v>
      </c>
      <c r="E11" s="112">
        <f>' التمويل وكتابة المشاريع'!I11</f>
        <v>20</v>
      </c>
    </row>
    <row r="12" spans="1:5">
      <c r="A12" s="73" t="s">
        <v>621</v>
      </c>
      <c r="B12" s="73">
        <v>5</v>
      </c>
      <c r="C12" s="73">
        <f>'البنية التحتية والمعدات والتكنو'!H11</f>
        <v>1</v>
      </c>
      <c r="D12" s="74" t="str">
        <f t="shared" si="0"/>
        <v>ناشئ</v>
      </c>
      <c r="E12" s="112">
        <f>'البنية التحتية والمعدات والتكنو'!I11</f>
        <v>20</v>
      </c>
    </row>
    <row r="13" spans="1:5">
      <c r="A13" s="73" t="s">
        <v>389</v>
      </c>
      <c r="B13" s="73">
        <v>7</v>
      </c>
      <c r="C13" s="73">
        <f>'الإدارة المالية'!H13</f>
        <v>1</v>
      </c>
      <c r="D13" s="74" t="str">
        <f t="shared" si="0"/>
        <v>ناشئ</v>
      </c>
      <c r="E13" s="112">
        <f>'الإدارة المالية'!I13</f>
        <v>20</v>
      </c>
    </row>
    <row r="14" spans="1:5">
      <c r="A14" s="73" t="s">
        <v>446</v>
      </c>
      <c r="B14" s="73">
        <v>7</v>
      </c>
      <c r="C14" s="73">
        <f>'الإدارة والحوكمة'!H13</f>
        <v>1</v>
      </c>
      <c r="D14" s="74" t="str">
        <f t="shared" si="0"/>
        <v>ناشئ</v>
      </c>
      <c r="E14" s="112">
        <f>'الإدارة والحوكمة'!I13</f>
        <v>20</v>
      </c>
    </row>
    <row r="15" spans="1:5" ht="28.2">
      <c r="A15" s="120" t="s">
        <v>622</v>
      </c>
      <c r="B15" s="120"/>
      <c r="C15" s="120"/>
      <c r="D15" s="121" t="str">
        <f>IF(ISNUMBER(E15),CHOOSE(MIN(5,MAX(1,ROUND(E15/20,0))),"ناشئ","أولي","أساسي","منظم","ديناميكي"),"قيد الاستكمال")</f>
        <v>ناشئ</v>
      </c>
      <c r="E15" s="122">
        <f>IF(COUNTIF(E6:E14,"&gt;0")&lt;9,"قيد الاستكمال",AVERAGEIF(E6:E14,"&gt;0"))</f>
        <v>20</v>
      </c>
    </row>
    <row r="16" spans="1:5">
      <c r="A16" s="66"/>
      <c r="B16" s="66"/>
      <c r="C16" s="66"/>
      <c r="D16" s="75"/>
      <c r="E16" s="66"/>
    </row>
    <row r="17" spans="1:5">
      <c r="A17" s="66"/>
      <c r="B17" s="66"/>
      <c r="C17" s="66"/>
      <c r="D17" s="66"/>
      <c r="E17" s="66"/>
    </row>
  </sheetData>
  <sheetProtection algorithmName="SHA-512" hashValue="mkD9k/YGGyrN1Ip9JVbRd8u3emK+5vUUnQ5jF8AIvRVcnhUnIEi/Nassa/uN1zN9McO+FVKd+iUjaFIOJzfnOw==" saltValue="RvBQf0e5XHDgVpOtZT326Q==" spinCount="100000" sheet="1" objects="1" scenarios="1"/>
  <mergeCells count="1">
    <mergeCell ref="A1:E4"/>
  </mergeCells>
  <conditionalFormatting sqref="C6:C14">
    <cfRule type="colorScale" priority="1">
      <colorScale>
        <cfvo type="min"/>
        <cfvo type="percentile" val="50"/>
        <cfvo type="max"/>
        <color rgb="FFF4CCCC"/>
        <color rgb="FFFFF2CC"/>
        <color rgb="FFD9EAD3"/>
      </colorScale>
    </cfRule>
  </conditionalFormatting>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rightToLeft="1" zoomScale="80" zoomScaleNormal="80" workbookViewId="0">
      <selection activeCell="H12" sqref="H12"/>
    </sheetView>
  </sheetViews>
  <sheetFormatPr defaultRowHeight="13.8"/>
  <cols>
    <col min="1" max="1" width="33.69921875" customWidth="1"/>
    <col min="2" max="2" width="28.09765625" customWidth="1"/>
    <col min="3" max="3" width="30.5" customWidth="1"/>
    <col min="4" max="4" width="21.296875" customWidth="1"/>
    <col min="5" max="5" width="22.09765625" customWidth="1"/>
    <col min="6" max="6" width="20.796875" customWidth="1"/>
    <col min="7" max="7" width="30.8984375" customWidth="1"/>
    <col min="8" max="8" width="24.3984375" customWidth="1"/>
  </cols>
  <sheetData>
    <row r="1" spans="1:10" s="107" customFormat="1">
      <c r="A1" s="150"/>
      <c r="B1" s="150"/>
      <c r="C1" s="150"/>
      <c r="D1" s="150"/>
      <c r="E1" s="150"/>
      <c r="F1" s="150"/>
      <c r="G1" s="150"/>
      <c r="H1" s="150"/>
      <c r="I1" s="150"/>
      <c r="J1" s="150"/>
    </row>
    <row r="2" spans="1:10" s="107" customFormat="1">
      <c r="A2" s="150"/>
      <c r="B2" s="150"/>
      <c r="C2" s="150"/>
      <c r="D2" s="150"/>
      <c r="E2" s="150"/>
      <c r="F2" s="150"/>
      <c r="G2" s="150"/>
      <c r="H2" s="150"/>
      <c r="I2" s="150"/>
      <c r="J2" s="150"/>
    </row>
    <row r="3" spans="1:10" s="107" customFormat="1">
      <c r="A3" s="150"/>
      <c r="B3" s="150"/>
      <c r="C3" s="150"/>
      <c r="D3" s="150"/>
      <c r="E3" s="150"/>
      <c r="F3" s="150"/>
      <c r="G3" s="150"/>
      <c r="H3" s="150"/>
      <c r="I3" s="150"/>
      <c r="J3" s="150"/>
    </row>
    <row r="4" spans="1:10" s="107" customFormat="1">
      <c r="A4" s="150"/>
      <c r="B4" s="150"/>
      <c r="C4" s="150"/>
      <c r="D4" s="150"/>
      <c r="E4" s="150"/>
      <c r="F4" s="150"/>
      <c r="G4" s="150"/>
      <c r="H4" s="150"/>
      <c r="I4" s="150"/>
      <c r="J4" s="150"/>
    </row>
    <row r="5" spans="1:10" ht="35.4" thickBot="1">
      <c r="A5" s="172" t="s">
        <v>505</v>
      </c>
      <c r="B5" s="172"/>
      <c r="C5" s="172"/>
      <c r="D5" s="173"/>
      <c r="E5" s="172"/>
      <c r="F5" s="172"/>
      <c r="G5" s="172"/>
    </row>
    <row r="6" spans="1:10" ht="25.2" thickBot="1">
      <c r="A6" s="174"/>
      <c r="B6" s="4" t="s">
        <v>1</v>
      </c>
      <c r="C6" s="5" t="s">
        <v>632</v>
      </c>
      <c r="D6" s="6" t="s">
        <v>506</v>
      </c>
      <c r="E6" s="5" t="s">
        <v>507</v>
      </c>
      <c r="F6" s="4" t="s">
        <v>508</v>
      </c>
      <c r="G6" s="5" t="s">
        <v>509</v>
      </c>
      <c r="H6" s="6" t="s">
        <v>620</v>
      </c>
      <c r="I6" s="6"/>
      <c r="J6" s="6" t="s">
        <v>1</v>
      </c>
    </row>
    <row r="7" spans="1:10" ht="30.6" thickBot="1">
      <c r="A7" s="175"/>
      <c r="B7" s="7" t="s">
        <v>510</v>
      </c>
      <c r="C7" s="8">
        <v>1</v>
      </c>
      <c r="D7" s="9">
        <v>2</v>
      </c>
      <c r="E7" s="8">
        <v>3</v>
      </c>
      <c r="F7" s="10">
        <v>4</v>
      </c>
      <c r="G7" s="8">
        <v>5</v>
      </c>
      <c r="H7" s="66"/>
      <c r="I7" s="66"/>
      <c r="J7" s="66"/>
    </row>
    <row r="8" spans="1:10" ht="21.6">
      <c r="A8" s="169" t="s">
        <v>21</v>
      </c>
      <c r="B8" s="11" t="s">
        <v>512</v>
      </c>
      <c r="C8" s="12">
        <f>IF('الترويج والخبرة في تعلم الكبار'!H5=1,1,0)+IF('الترويج والخبرة في تعلم الكبار'!H6=1,1,0)+IF('الترويج والخبرة في تعلم الكبار'!H7=1,1,0)+IF('الترويج والخبرة في تعلم الكبار'!H8=1,1,0)+IF('الترويج والخبرة في تعلم الكبار'!H9=1,1,0)+IF('الترويج والخبرة في تعلم الكبار'!H10=1,1,0)</f>
        <v>6</v>
      </c>
      <c r="D8" s="13">
        <f>IF('الترويج والخبرة في تعلم الكبار'!H5=2,1,0)+IF('الترويج والخبرة في تعلم الكبار'!H6=2,1,0)+IF('الترويج والخبرة في تعلم الكبار'!H7=2,1,0)+IF('الترويج والخبرة في تعلم الكبار'!H8=2,1,0)+IF('الترويج والخبرة في تعلم الكبار'!H9=2,1,0)+IF('الترويج والخبرة في تعلم الكبار'!H10=2,1,0)</f>
        <v>0</v>
      </c>
      <c r="E8" s="14">
        <f>IF('الترويج والخبرة في تعلم الكبار'!H5=3,1,0)+IF('الترويج والخبرة في تعلم الكبار'!H6=3,1,0)+IF('الترويج والخبرة في تعلم الكبار'!H7=3,1,0)+IF('الترويج والخبرة في تعلم الكبار'!H8=3,1,0)+IF('الترويج والخبرة في تعلم الكبار'!H9=3,1,0)+IF('الترويج والخبرة في تعلم الكبار'!H10=3,1,0)</f>
        <v>0</v>
      </c>
      <c r="F8" s="14">
        <f>IF('الترويج والخبرة في تعلم الكبار'!H5=4,1,0)+IF('الترويج والخبرة في تعلم الكبار'!H6=4,1,0)+IF('الترويج والخبرة في تعلم الكبار'!H7=4,1,0)+IF('الترويج والخبرة في تعلم الكبار'!H8=4,1,0)+IF('الترويج والخبرة في تعلم الكبار'!H9=4,1,0)+IF('الترويج والخبرة في تعلم الكبار'!H10=4,1,0)</f>
        <v>0</v>
      </c>
      <c r="G8" s="76">
        <f>IF('الترويج والخبرة في تعلم الكبار'!H5=5,1,0)+IF('الترويج والخبرة في تعلم الكبار'!H6=5,1,0)+IF('الترويج والخبرة في تعلم الكبار'!H7=5,1,0)+IF('الترويج والخبرة في تعلم الكبار'!H8=5,1,0)+IF('الترويج والخبرة في تعلم الكبار'!H9=5,1,0)+IF('الترويج والخبرة في تعلم الكبار'!H10=5,1,0)</f>
        <v>0</v>
      </c>
      <c r="H8" s="112"/>
      <c r="I8" s="66"/>
      <c r="J8" s="66"/>
    </row>
    <row r="9" spans="1:10" ht="22.2" thickBot="1">
      <c r="A9" s="168"/>
      <c r="B9" s="15" t="s">
        <v>513</v>
      </c>
      <c r="C9" s="13">
        <f>C8*1</f>
        <v>6</v>
      </c>
      <c r="D9" s="13">
        <f>D8*2</f>
        <v>0</v>
      </c>
      <c r="E9" s="13">
        <f>E8*3</f>
        <v>0</v>
      </c>
      <c r="F9" s="13">
        <f>F8*4</f>
        <v>0</v>
      </c>
      <c r="G9" s="77">
        <f>G8*5</f>
        <v>0</v>
      </c>
      <c r="H9" s="112">
        <f>IF(SUM(C8:G8)=0,"قيد الاستكمال",((C9+D9+E9+F9+G9)/((C8+D8+E8+F8+G8)*5))*100)</f>
        <v>20</v>
      </c>
      <c r="I9" s="66"/>
      <c r="J9" s="66"/>
    </row>
    <row r="10" spans="1:10" ht="21.6">
      <c r="A10" s="169" t="s">
        <v>79</v>
      </c>
      <c r="B10" s="11" t="s">
        <v>512</v>
      </c>
      <c r="C10" s="12">
        <f>IF('برامج تعلم وتعليم الكبار'!H6=1,1,0)+IF('برامج تعلم وتعليم الكبار'!H7=1,1,0)+IF('برامج تعلم وتعليم الكبار'!H8=1,1,0)+IF('برامج تعلم وتعليم الكبار'!H9=1,1,0)+IF('برامج تعلم وتعليم الكبار'!H10=1,1,0)+IF('برامج تعلم وتعليم الكبار'!H11=1,1,0)+IF('برامج تعلم وتعليم الكبار'!H12=1,1,0)+IF('برامج تعلم وتعليم الكبار'!H13=1,1,0)+IF('برامج تعلم وتعليم الكبار'!H14=1,1,0)</f>
        <v>9</v>
      </c>
      <c r="D10" s="14">
        <f>IF('برامج تعلم وتعليم الكبار'!H6=2,1,0)+IF('برامج تعلم وتعليم الكبار'!H7=2,1,0)+IF('برامج تعلم وتعليم الكبار'!H8=2,1,0)+IF('برامج تعلم وتعليم الكبار'!H9=2,1,0)+IF('برامج تعلم وتعليم الكبار'!H10=2,1,0)+IF('برامج تعلم وتعليم الكبار'!H11=2,1,0)+IF('برامج تعلم وتعليم الكبار'!H12=2,1,0)+IF('برامج تعلم وتعليم الكبار'!H13=2,1,0)+IF('برامج تعلم وتعليم الكبار'!H14=2,1,0)</f>
        <v>0</v>
      </c>
      <c r="E10" s="14">
        <f>IF('برامج تعلم وتعليم الكبار'!H6=3,1,0)+IF('برامج تعلم وتعليم الكبار'!H7=3,1,0)+IF('برامج تعلم وتعليم الكبار'!H8=3,1,0)+IF('برامج تعلم وتعليم الكبار'!H9=3,1,0)+IF('برامج تعلم وتعليم الكبار'!H10=3,1,0)+IF('برامج تعلم وتعليم الكبار'!H11=3,1,0)+IF('برامج تعلم وتعليم الكبار'!H12=3,1,0)+IF('برامج تعلم وتعليم الكبار'!H13=3,1,0)+IF('برامج تعلم وتعليم الكبار'!H14=3,1,0)</f>
        <v>0</v>
      </c>
      <c r="F10" s="14">
        <f>IF('برامج تعلم وتعليم الكبار'!H6=4,1,0)+IF('برامج تعلم وتعليم الكبار'!H7=4,1,0)+IF('برامج تعلم وتعليم الكبار'!H8=4,1,0)+IF('برامج تعلم وتعليم الكبار'!H9=4,1,0)+IF('برامج تعلم وتعليم الكبار'!H10=4,1,0)+IF('برامج تعلم وتعليم الكبار'!H11=4,1,0)+IF('برامج تعلم وتعليم الكبار'!H12=4,1,0)+IF('برامج تعلم وتعليم الكبار'!H13=4,1,0)+IF('برامج تعلم وتعليم الكبار'!H14=4,1,0)</f>
        <v>0</v>
      </c>
      <c r="G10" s="76">
        <f>IF('برامج تعلم وتعليم الكبار'!H6=5,1,0)+IF('برامج تعلم وتعليم الكبار'!H7=5,1,0)+IF('برامج تعلم وتعليم الكبار'!H8=5,1,0)+IF('برامج تعلم وتعليم الكبار'!H9=5,1,0)+IF('برامج تعلم وتعليم الكبار'!H10=5,1,0)+IF('برامج تعلم وتعليم الكبار'!H11=5,1,0)+IF('برامج تعلم وتعليم الكبار'!H12=5,1,0)+IF('برامج تعلم وتعليم الكبار'!H13=5,1,0)+IF('برامج تعلم وتعليم الكبار'!H14=5,1,0)</f>
        <v>0</v>
      </c>
      <c r="H10" s="112"/>
      <c r="I10" s="66"/>
      <c r="J10" s="66"/>
    </row>
    <row r="11" spans="1:10" ht="22.2" thickBot="1">
      <c r="A11" s="168"/>
      <c r="B11" s="15" t="s">
        <v>513</v>
      </c>
      <c r="C11" s="13">
        <f>C10*1</f>
        <v>9</v>
      </c>
      <c r="D11" s="13">
        <f>D10*2</f>
        <v>0</v>
      </c>
      <c r="E11" s="13">
        <f>E10*3</f>
        <v>0</v>
      </c>
      <c r="F11" s="13">
        <f>F10*4</f>
        <v>0</v>
      </c>
      <c r="G11" s="77">
        <f>G10*5</f>
        <v>0</v>
      </c>
      <c r="H11" s="112">
        <f>IF(SUM(C10:G10)=0,"قيد الاستكمال",((C11+D11+E11+F11+G11)/((C10+D10+E10+F10+G10)*5))*100)</f>
        <v>20</v>
      </c>
      <c r="I11" s="66"/>
      <c r="J11" s="66"/>
    </row>
    <row r="12" spans="1:10" ht="21.6">
      <c r="A12" s="169" t="s">
        <v>623</v>
      </c>
      <c r="B12" s="11" t="s">
        <v>512</v>
      </c>
      <c r="C12" s="12">
        <f>IF('البحث المجتمعي والتواصل'!H6=1,1,0)+IF('البحث المجتمعي والتواصل'!H7=1,1,0)+IF('البحث المجتمعي والتواصل'!H8=1,1,0)+IF('البحث المجتمعي والتواصل'!H9=1,1,0)+IF('البحث المجتمعي والتواصل'!H10=1,1,0)+IF('البحث المجتمعي والتواصل'!H11=1,1,0)+IF('البحث المجتمعي والتواصل'!H12=1,1,0)</f>
        <v>7</v>
      </c>
      <c r="D12" s="14">
        <f>IF('البحث المجتمعي والتواصل'!H6=2,1,0)+IF('البحث المجتمعي والتواصل'!H7=2,1,0)+IF('البحث المجتمعي والتواصل'!H8=2,1,0)+IF('البحث المجتمعي والتواصل'!H9=2,1,0)+IF('البحث المجتمعي والتواصل'!H10=2,1,0)+IF('البحث المجتمعي والتواصل'!H11=2,1,0)+IF('البحث المجتمعي والتواصل'!H12=2,1,0)</f>
        <v>0</v>
      </c>
      <c r="E12" s="14">
        <f>IF('البحث المجتمعي والتواصل'!H6=3,1,0)+IF('البحث المجتمعي والتواصل'!H7=3,1,0)+IF('البحث المجتمعي والتواصل'!H8=3,1,0)+IF('البحث المجتمعي والتواصل'!H9=3,1,0)+IF('البحث المجتمعي والتواصل'!H10=3,1,0)+IF('البحث المجتمعي والتواصل'!H11=3,1,0)+IF('البحث المجتمعي والتواصل'!H12=3,1,0)</f>
        <v>0</v>
      </c>
      <c r="F12" s="14">
        <f>IF('البحث المجتمعي والتواصل'!H6=4,1,0)+IF('البحث المجتمعي والتواصل'!H7=4,1,0)+IF('البحث المجتمعي والتواصل'!H8=4,1,0)+IF('البحث المجتمعي والتواصل'!H9=4,1,0)+IF('البحث المجتمعي والتواصل'!H10=4,1,0)+IF('البحث المجتمعي والتواصل'!H11=4,1,0)+IF('البحث المجتمعي والتواصل'!H12=4,1,0)</f>
        <v>0</v>
      </c>
      <c r="G12" s="76">
        <f>IF('البحث المجتمعي والتواصل'!H6=5,1,0)+IF('البحث المجتمعي والتواصل'!H7=5,1,0)+IF('البحث المجتمعي والتواصل'!H8=5,1,0)+IF('البحث المجتمعي والتواصل'!H9=5,1,0)+IF('البحث المجتمعي والتواصل'!H10=5,1,0)+IF('البحث المجتمعي والتواصل'!H11=5,1,0)+IF('البحث المجتمعي والتواصل'!H12=5,1,0)</f>
        <v>0</v>
      </c>
      <c r="H12" s="112"/>
      <c r="I12" s="66"/>
      <c r="J12" s="66"/>
    </row>
    <row r="13" spans="1:10" ht="22.2" thickBot="1">
      <c r="A13" s="168"/>
      <c r="B13" s="15" t="s">
        <v>513</v>
      </c>
      <c r="C13" s="13">
        <f>C12*1</f>
        <v>7</v>
      </c>
      <c r="D13" s="13">
        <f>D12*2</f>
        <v>0</v>
      </c>
      <c r="E13" s="13">
        <f>E12*3</f>
        <v>0</v>
      </c>
      <c r="F13" s="13">
        <f>F12*4</f>
        <v>0</v>
      </c>
      <c r="G13" s="77">
        <f>G12*5</f>
        <v>0</v>
      </c>
      <c r="H13" s="112">
        <f>IF(SUM(C12:G12)=0,"قيد الاستكمال",((C13+D13+E13+F13+G13)/((C12+D12+E12+F12+G12)*5))*100)</f>
        <v>20</v>
      </c>
      <c r="I13" s="66"/>
      <c r="J13" s="66"/>
    </row>
    <row r="14" spans="1:10" ht="21.6">
      <c r="A14" s="169" t="s">
        <v>209</v>
      </c>
      <c r="B14" s="11" t="s">
        <v>512</v>
      </c>
      <c r="C14" s="12">
        <f>IF('التواصل والمناصرة'!H6=1,1,0)+IF('التواصل والمناصرة'!H7=1,1,0)+IF('التواصل والمناصرة'!H8=1,1,0)+IF('التواصل والمناصرة'!H9=1,1,0)+IF('التواصل والمناصرة'!H10=1,1,0)+IF('التواصل والمناصرة'!H11=1,1,0)</f>
        <v>6</v>
      </c>
      <c r="D14" s="14">
        <f>IF('التواصل والمناصرة'!H6=2,1,0)+IF('التواصل والمناصرة'!H7=2,1,0)+IF('التواصل والمناصرة'!H8=2,1,0)+IF('التواصل والمناصرة'!H9=2,1,0)+IF('التواصل والمناصرة'!H10=2,1,0)+IF('التواصل والمناصرة'!H11=2,1,0)</f>
        <v>0</v>
      </c>
      <c r="E14" s="14">
        <f>IF('التواصل والمناصرة'!H6=3,1,0)+IF('التواصل والمناصرة'!H7=3,1,0)+IF('التواصل والمناصرة'!H8=3,1,0)+IF('التواصل والمناصرة'!H9=3,1,0)+IF('التواصل والمناصرة'!H10=3,1,0)+IF('التواصل والمناصرة'!H11=3,1,0)</f>
        <v>0</v>
      </c>
      <c r="F14" s="14">
        <f>IF('التواصل والمناصرة'!H6=4,1,0)+IF('التواصل والمناصرة'!H7=4,1,0)+IF('التواصل والمناصرة'!H8=4,1,0)+IF('التواصل والمناصرة'!H9=4,1,0)+IF('التواصل والمناصرة'!H10=4,1,0)+IF('التواصل والمناصرة'!H11=4,1,0)</f>
        <v>0</v>
      </c>
      <c r="G14" s="76">
        <f>IF('التواصل والمناصرة'!H6=5,1,0)+IF('التواصل والمناصرة'!H7=5,1,0)+IF('التواصل والمناصرة'!H8=5,1,0)+IF('التواصل والمناصرة'!H9=5,1,0)+IF('التواصل والمناصرة'!H10=5,1,0)+IF('التواصل والمناصرة'!H11=5,1,0)</f>
        <v>0</v>
      </c>
      <c r="H14" s="112"/>
      <c r="I14" s="66"/>
      <c r="J14" s="66"/>
    </row>
    <row r="15" spans="1:10" ht="22.2" thickBot="1">
      <c r="A15" s="168"/>
      <c r="B15" s="15" t="s">
        <v>513</v>
      </c>
      <c r="C15" s="16">
        <f>C14*1</f>
        <v>6</v>
      </c>
      <c r="D15" s="16">
        <f>D14*2</f>
        <v>0</v>
      </c>
      <c r="E15" s="16">
        <f>E14*3</f>
        <v>0</v>
      </c>
      <c r="F15" s="16">
        <f>F14*4</f>
        <v>0</v>
      </c>
      <c r="G15" s="78">
        <f>G14*5</f>
        <v>0</v>
      </c>
      <c r="H15" s="112">
        <f>IF(SUM(C14:G14)=0,"قيد الاستكمال",((C15+D15+E15+F15+G15)/((C14+D14+E14+F14+G14)*5))*100)</f>
        <v>20</v>
      </c>
      <c r="I15" s="66"/>
      <c r="J15" s="66"/>
    </row>
    <row r="16" spans="1:10" ht="21.6">
      <c r="A16" s="167" t="s">
        <v>258</v>
      </c>
      <c r="B16" s="17" t="s">
        <v>512</v>
      </c>
      <c r="C16" s="13">
        <f>IF('الموارد البشرية'!H6=1,1,0)+IF('الموارد البشرية'!H7=1,1,0)+IF('الموارد البشرية'!H8=1,1,0)+IF('الموارد البشرية'!H9=1,1,0)+IF('الموارد البشرية'!H10=1,1,0)+IF('الموارد البشرية'!H11=1,1,0)</f>
        <v>6</v>
      </c>
      <c r="D16" s="13">
        <f>IF('الموارد البشرية'!H6=2,1,0)+IF('الموارد البشرية'!H7=2,1,0)+IF('الموارد البشرية'!H8=2,1,0)+IF('الموارد البشرية'!H9=2,1,0)+IF('الموارد البشرية'!H10=2,1,0)+IF('الموارد البشرية'!H11=2,1,0)</f>
        <v>0</v>
      </c>
      <c r="E16" s="13">
        <f>IF('الموارد البشرية'!H6=3,1,0)+IF('الموارد البشرية'!H7=3,1,0)+IF('الموارد البشرية'!H8=3,1,0)+IF('الموارد البشرية'!H9=3,1,0)+IF('الموارد البشرية'!H10=3,1,0)+IF('الموارد البشرية'!H11=3,1,0)</f>
        <v>0</v>
      </c>
      <c r="F16" s="13">
        <f>IF('الموارد البشرية'!H6=4,1,0)+IF('الموارد البشرية'!H7=4,1,0)+IF('الموارد البشرية'!H8=4,1,0)+IF('الموارد البشرية'!H9=4,1,0)+IF('الموارد البشرية'!H10=4,1,0)+IF('الموارد البشرية'!H11=4,1,0)</f>
        <v>0</v>
      </c>
      <c r="G16" s="77">
        <f>IF('الموارد البشرية'!H6=5,1,0)+IF('الموارد البشرية'!H7=5,1,0)+IF('الموارد البشرية'!H8=5,1,0)+IF('الموارد البشرية'!H9=5,1,0)+IF('الموارد البشرية'!H10=5,1,0)+IF('الموارد البشرية'!H11=5,1,0)</f>
        <v>0</v>
      </c>
      <c r="H16" s="112"/>
      <c r="I16" s="66"/>
      <c r="J16" s="66"/>
    </row>
    <row r="17" spans="1:10" ht="22.2" thickBot="1">
      <c r="A17" s="168"/>
      <c r="B17" s="18" t="s">
        <v>513</v>
      </c>
      <c r="C17" s="13">
        <f>C16*1</f>
        <v>6</v>
      </c>
      <c r="D17" s="13">
        <f>D16*2</f>
        <v>0</v>
      </c>
      <c r="E17" s="13">
        <f>E16*3</f>
        <v>0</v>
      </c>
      <c r="F17" s="13">
        <f>F16*4</f>
        <v>0</v>
      </c>
      <c r="G17" s="77">
        <f>G16*5</f>
        <v>0</v>
      </c>
      <c r="H17" s="112">
        <f>IF(SUM(C16:G16)=0,"قيد الاستكمال",((C17+D17+E17+F17+G17)/((C16+D16+E16+F16+G16)*5))*100)</f>
        <v>20</v>
      </c>
      <c r="I17" s="66"/>
      <c r="J17" s="66"/>
    </row>
    <row r="18" spans="1:10" ht="21.6">
      <c r="A18" s="169" t="s">
        <v>307</v>
      </c>
      <c r="B18" s="11" t="s">
        <v>512</v>
      </c>
      <c r="C18" s="12">
        <f>IF(' التمويل وكتابة المشاريع'!H6=1,1,0)+IF(' التمويل وكتابة المشاريع'!H7=1,1,0)+IF(' التمويل وكتابة المشاريع'!H8=1,1,0)+IF(' التمويل وكتابة المشاريع'!H9=1,1,0)+IF(' التمويل وكتابة المشاريع'!H10=1,1,0)</f>
        <v>5</v>
      </c>
      <c r="D18" s="14">
        <f>IF(' التمويل وكتابة المشاريع'!H6=2,1,0)+IF(' التمويل وكتابة المشاريع'!H7=2,1,0)+IF(' التمويل وكتابة المشاريع'!H8=2,1,0)+IF(' التمويل وكتابة المشاريع'!H9=2,1,0)+IF(' التمويل وكتابة المشاريع'!H10=2,1,0)</f>
        <v>0</v>
      </c>
      <c r="E18" s="14">
        <f>IF(' التمويل وكتابة المشاريع'!H6=3,1,0)+IF(' التمويل وكتابة المشاريع'!H7=3,1,0)+IF(' التمويل وكتابة المشاريع'!H8=3,1,0)+IF(' التمويل وكتابة المشاريع'!H9=3,1,0)+IF(' التمويل وكتابة المشاريع'!H10=3,1,0)</f>
        <v>0</v>
      </c>
      <c r="F18" s="14">
        <f>IF(' التمويل وكتابة المشاريع'!H6=4,1,0)+IF(' التمويل وكتابة المشاريع'!H7=4,1,0)+IF(' التمويل وكتابة المشاريع'!H8=4,1,0)+IF(' التمويل وكتابة المشاريع'!H9=4,1,0)+IF(' التمويل وكتابة المشاريع'!H10=4,1,0)</f>
        <v>0</v>
      </c>
      <c r="G18" s="76">
        <f>IF(' التمويل وكتابة المشاريع'!H6=5,1,0)+IF(' التمويل وكتابة المشاريع'!H7=5,1,0)+IF(' التمويل وكتابة المشاريع'!H8=5,1,0)+IF(' التمويل وكتابة المشاريع'!H9=5,1,0)+IF(' التمويل وكتابة المشاريع'!H10=5,1,0)</f>
        <v>0</v>
      </c>
      <c r="H18" s="112"/>
      <c r="I18" s="66"/>
      <c r="J18" s="66"/>
    </row>
    <row r="19" spans="1:10" ht="22.2" thickBot="1">
      <c r="A19" s="168"/>
      <c r="B19" s="15" t="s">
        <v>513</v>
      </c>
      <c r="C19" s="13">
        <f>C18*1</f>
        <v>5</v>
      </c>
      <c r="D19" s="13">
        <f>D18*2</f>
        <v>0</v>
      </c>
      <c r="E19" s="13">
        <f>E18*3</f>
        <v>0</v>
      </c>
      <c r="F19" s="13">
        <f>F18*4</f>
        <v>0</v>
      </c>
      <c r="G19" s="77">
        <f>G18*5</f>
        <v>0</v>
      </c>
      <c r="H19" s="112">
        <f>IF(SUM(C18:G18)=0,"قيد الاستكمال",((C19+D19+E19+F19+G19)/((C18+D18+E18+F18+G18)*5))*100)</f>
        <v>20</v>
      </c>
      <c r="I19" s="66"/>
      <c r="J19" s="66"/>
    </row>
    <row r="20" spans="1:10" ht="21.6">
      <c r="A20" s="169" t="s">
        <v>624</v>
      </c>
      <c r="B20" s="11" t="s">
        <v>512</v>
      </c>
      <c r="C20" s="12">
        <f>IF('البنية التحتية والمعدات والتكنو'!H6=1,1,0)+IF('البنية التحتية والمعدات والتكنو'!H7=1,1,0)+IF('البنية التحتية والمعدات والتكنو'!H8=1,1,0)+IF('البنية التحتية والمعدات والتكنو'!H9=1,1,0)+IF('البنية التحتية والمعدات والتكنو'!H10=1,1,0)</f>
        <v>5</v>
      </c>
      <c r="D20" s="14">
        <f>IF('البنية التحتية والمعدات والتكنو'!H6=2,1,0)+IF('البنية التحتية والمعدات والتكنو'!H7=2,1,0)+IF('البنية التحتية والمعدات والتكنو'!H8=2,1,0)+IF('البنية التحتية والمعدات والتكنو'!H9=2,1,0)+IF('البنية التحتية والمعدات والتكنو'!H10=2,1,0)</f>
        <v>0</v>
      </c>
      <c r="E20" s="14">
        <f>IF('البنية التحتية والمعدات والتكنو'!H6=3,1,0)+IF('البنية التحتية والمعدات والتكنو'!H7=3,1,0)+IF('البنية التحتية والمعدات والتكنو'!H8=3,1,0)+IF('البنية التحتية والمعدات والتكنو'!H9=3,1,0)+IF('البنية التحتية والمعدات والتكنو'!H10=3,1,0)</f>
        <v>0</v>
      </c>
      <c r="F20" s="14">
        <f>IF('البنية التحتية والمعدات والتكنو'!H6=4,1,0)+IF('البنية التحتية والمعدات والتكنو'!H7=4,1,0)+IF('البنية التحتية والمعدات والتكنو'!H8=4,1,0)+IF('البنية التحتية والمعدات والتكنو'!H9=4,1,0)+IF('البنية التحتية والمعدات والتكنو'!H10=4,1,0)</f>
        <v>0</v>
      </c>
      <c r="G20" s="76">
        <f>IF('البنية التحتية والمعدات والتكنو'!H6=5,1,0)+IF('البنية التحتية والمعدات والتكنو'!H7=5,1,0)+IF('البنية التحتية والمعدات والتكنو'!H8=5,1,0)+IF('البنية التحتية والمعدات والتكنو'!H9=5,1,0)+IF('البنية التحتية والمعدات والتكنو'!H10=5,1,0)</f>
        <v>0</v>
      </c>
      <c r="H20" s="112"/>
      <c r="I20" s="66"/>
      <c r="J20" s="66"/>
    </row>
    <row r="21" spans="1:10" ht="22.2" thickBot="1">
      <c r="A21" s="168"/>
      <c r="B21" s="15" t="s">
        <v>513</v>
      </c>
      <c r="C21" s="13">
        <f>C20*1</f>
        <v>5</v>
      </c>
      <c r="D21" s="13">
        <f>D20*2</f>
        <v>0</v>
      </c>
      <c r="E21" s="13">
        <f>E20*3</f>
        <v>0</v>
      </c>
      <c r="F21" s="13">
        <f>F20*4</f>
        <v>0</v>
      </c>
      <c r="G21" s="77">
        <f>G20*5</f>
        <v>0</v>
      </c>
      <c r="H21" s="112">
        <f>IF(SUM(C20:G20)=0,"قيد الاستكمال",((C21+D21+E21+F21+G21)/((C20+D20+E20+F20+G20)*5))*100)</f>
        <v>20</v>
      </c>
      <c r="I21" s="66"/>
      <c r="J21" s="66"/>
    </row>
    <row r="22" spans="1:10" ht="21.6">
      <c r="A22" s="169" t="s">
        <v>389</v>
      </c>
      <c r="B22" s="11" t="s">
        <v>512</v>
      </c>
      <c r="C22" s="12">
        <f>IF('الإدارة المالية'!H6=1,1,0)+IF('الإدارة المالية'!H7=1,1,0)+IF('الإدارة المالية'!H8=1,1,0)+IF('الإدارة المالية'!H9=1,1,0)+IF('الإدارة المالية'!H10=1,1,0)+IF('الإدارة المالية'!H11=1,1,0)+IF('الإدارة المالية'!H12=1,1,0)</f>
        <v>7</v>
      </c>
      <c r="D22" s="14">
        <f>IF('الإدارة المالية'!H6=2,1,0)+IF('الإدارة المالية'!H7=2,1,0)+IF('الإدارة المالية'!H8=2,1,0)+IF('الإدارة المالية'!H9=2,1,0)+IF('الإدارة المالية'!H10=2,1,0)+IF('الإدارة المالية'!H11=2,1,0)+IF('الإدارة المالية'!H12=2,1,0)</f>
        <v>0</v>
      </c>
      <c r="E22" s="14">
        <f>IF('الإدارة المالية'!H6=3,1,0)+IF('الإدارة المالية'!H7=3,1,0)+IF('الإدارة المالية'!H8=3,1,0)+IF('الإدارة المالية'!H9=3,1,0)+IF('الإدارة المالية'!H10=3,1,0)+IF('الإدارة المالية'!H11=3,1,0)+IF('الإدارة المالية'!H12=3,1,0)</f>
        <v>0</v>
      </c>
      <c r="F22" s="14">
        <f>IF('الإدارة المالية'!H6=4,1,0)+IF('الإدارة المالية'!H7=4,1,0)+IF('الإدارة المالية'!H8=4,1,0)+IF('الإدارة المالية'!H9=4,1,0)+IF('الإدارة المالية'!H10=4,1,0)+IF('الإدارة المالية'!H11=4,1,0)+IF('الإدارة المالية'!H12=4,1,0)</f>
        <v>0</v>
      </c>
      <c r="G22" s="76">
        <f>IF('الإدارة المالية'!H6=5,1,0)+IF('الإدارة المالية'!H7=5,1,0)+IF('الإدارة المالية'!H8=5,1,0)+IF('الإدارة المالية'!H9=5,1,0)+IF('الإدارة المالية'!H10=5,1,0)+IF('الإدارة المالية'!H11=5,1,0)+IF('الإدارة المالية'!H12=5,1,0)</f>
        <v>0</v>
      </c>
      <c r="H22" s="112"/>
      <c r="I22" s="66"/>
      <c r="J22" s="66"/>
    </row>
    <row r="23" spans="1:10" ht="22.2" thickBot="1">
      <c r="A23" s="168"/>
      <c r="B23" s="15" t="s">
        <v>513</v>
      </c>
      <c r="C23" s="13">
        <f>C22*1</f>
        <v>7</v>
      </c>
      <c r="D23" s="13">
        <f>D22*2</f>
        <v>0</v>
      </c>
      <c r="E23" s="13">
        <f>E22*3</f>
        <v>0</v>
      </c>
      <c r="F23" s="13">
        <f>F22*4</f>
        <v>0</v>
      </c>
      <c r="G23" s="77">
        <f>G22*5</f>
        <v>0</v>
      </c>
      <c r="H23" s="112">
        <f>IF(SUM(C22:G22)=0,"قيد الاستكمال",((C23+D23+E23+F23+G23)/((C22+D22+E22+F22+G22)*5))*100)</f>
        <v>20</v>
      </c>
      <c r="I23" s="66"/>
      <c r="J23" s="66"/>
    </row>
    <row r="24" spans="1:10" ht="21.6">
      <c r="A24" s="169" t="s">
        <v>446</v>
      </c>
      <c r="B24" s="11" t="s">
        <v>512</v>
      </c>
      <c r="C24" s="12">
        <f>IF('الإدارة والحوكمة'!H6=1,1,0)+IF('الإدارة والحوكمة'!H7=1,1,0)+IF('الإدارة والحوكمة'!H8=1,1,0)+IF('الإدارة والحوكمة'!H9=1,1,0)+IF('الإدارة والحوكمة'!H10=1,1,0)+IF('الإدارة والحوكمة'!H11=1,1,0)+IF('الإدارة والحوكمة'!H12=1,1,0)</f>
        <v>7</v>
      </c>
      <c r="D24" s="14">
        <f>IF('الإدارة والحوكمة'!H6=2,1,0)+IF('الإدارة والحوكمة'!H7=2,1,0)+IF('الإدارة والحوكمة'!H8=2,1,0)+IF('الإدارة والحوكمة'!H9=2,1,0)+IF('الإدارة والحوكمة'!H10=2,1,0)+IF('الإدارة والحوكمة'!H11=2,1,0)+IF('الإدارة والحوكمة'!H12=2,1,0)</f>
        <v>0</v>
      </c>
      <c r="E24" s="14">
        <f>IF('الإدارة والحوكمة'!H6=3,1,0)+IF('الإدارة والحوكمة'!H7=3,1,0)+IF('الإدارة والحوكمة'!H8=3,1,0)+IF('الإدارة والحوكمة'!H9=3,1,0)+IF('الإدارة والحوكمة'!H10=3,1,0)+IF('الإدارة والحوكمة'!H11=3,1,0)+IF('الإدارة والحوكمة'!H12=3,1,0)</f>
        <v>0</v>
      </c>
      <c r="F24" s="14">
        <f>IF('الإدارة والحوكمة'!H6=4,1,0)+IF('الإدارة والحوكمة'!H7=4,1,0)+IF('الإدارة والحوكمة'!H8=4,1,0)+IF('الإدارة والحوكمة'!H9=4,1,0)+IF('الإدارة والحوكمة'!H10=4,1,0)+IF('الإدارة والحوكمة'!H11=4,1,0)+IF('الإدارة والحوكمة'!H12=4,1,0)</f>
        <v>0</v>
      </c>
      <c r="G24" s="76">
        <f>IF('الإدارة والحوكمة'!H6=5,1,0)+IF('الإدارة والحوكمة'!H7=5,1,0)+IF('الإدارة والحوكمة'!H8=5,1,0)+IF('الإدارة والحوكمة'!H9=5,1,0)+IF('الإدارة والحوكمة'!H10=5,1,0)+IF('الإدارة والحوكمة'!H11=5,1,0)+IF('الإدارة والحوكمة'!H12=5,1,0)</f>
        <v>0</v>
      </c>
      <c r="H24" s="112"/>
      <c r="I24" s="66"/>
      <c r="J24" s="66"/>
    </row>
    <row r="25" spans="1:10" ht="22.2" thickBot="1">
      <c r="A25" s="168"/>
      <c r="B25" s="15" t="s">
        <v>513</v>
      </c>
      <c r="C25" s="16">
        <f>C24*1</f>
        <v>7</v>
      </c>
      <c r="D25" s="16">
        <f>D24*2</f>
        <v>0</v>
      </c>
      <c r="E25" s="16">
        <f>E24*3</f>
        <v>0</v>
      </c>
      <c r="F25" s="16">
        <f>F24*4</f>
        <v>0</v>
      </c>
      <c r="G25" s="78">
        <f>G24*5</f>
        <v>0</v>
      </c>
      <c r="H25" s="112">
        <f>IF(SUM(C24:G24)=0,"قيد الاستكمال",((C25+D25+E25+F25+G25)/((C24+D24+E24+F24+G24)*5))*100)</f>
        <v>20</v>
      </c>
      <c r="I25" s="66"/>
      <c r="J25" s="66"/>
    </row>
    <row r="26" spans="1:10" ht="14.4" thickBot="1">
      <c r="H26" s="112"/>
      <c r="I26" s="66"/>
      <c r="J26" s="66"/>
    </row>
    <row r="27" spans="1:10" ht="22.2" thickBot="1">
      <c r="A27" s="170" t="s">
        <v>514</v>
      </c>
      <c r="B27" s="19" t="s">
        <v>512</v>
      </c>
      <c r="C27" s="20">
        <f>C8+C10+C12+C14+C16+C18+C20+C22+C24</f>
        <v>58</v>
      </c>
      <c r="D27" s="20">
        <f>D8+D10+D12+D14+D16+D18+D20+D22+D24</f>
        <v>0</v>
      </c>
      <c r="E27" s="20">
        <f t="shared" ref="E27:G28" si="0">E8+E10+E12+E14+E16+E18+E20+E22+E24</f>
        <v>0</v>
      </c>
      <c r="F27" s="20">
        <f t="shared" si="0"/>
        <v>0</v>
      </c>
      <c r="G27" s="79">
        <f t="shared" si="0"/>
        <v>0</v>
      </c>
      <c r="H27" s="112"/>
      <c r="I27" s="66"/>
      <c r="J27" s="66"/>
    </row>
    <row r="28" spans="1:10" ht="22.2" thickBot="1">
      <c r="A28" s="171"/>
      <c r="B28" s="21" t="s">
        <v>513</v>
      </c>
      <c r="C28" s="22">
        <f>C9+C11+C13+C15+C17+C19+C21+C23+C25</f>
        <v>58</v>
      </c>
      <c r="D28" s="22">
        <f>D9+D11+D13+D15+D17+D19+D21+D23+D25</f>
        <v>0</v>
      </c>
      <c r="E28" s="22">
        <f t="shared" si="0"/>
        <v>0</v>
      </c>
      <c r="F28" s="22">
        <f t="shared" si="0"/>
        <v>0</v>
      </c>
      <c r="G28" s="80">
        <f t="shared" si="0"/>
        <v>0</v>
      </c>
      <c r="H28" s="112"/>
      <c r="I28" s="66"/>
      <c r="J28" s="66"/>
    </row>
    <row r="29" spans="1:10" ht="14.4" thickBot="1">
      <c r="H29" s="112"/>
      <c r="I29" s="66"/>
      <c r="J29" s="66"/>
    </row>
    <row r="30" spans="1:10" ht="30">
      <c r="A30" s="157" t="s">
        <v>515</v>
      </c>
      <c r="B30" s="23" t="s">
        <v>512</v>
      </c>
      <c r="C30" s="115">
        <f>C28/((C27+D27+E27+F27+G27)*5)*100</f>
        <v>20</v>
      </c>
      <c r="D30" s="116">
        <f>D28/((C27+D27+E27+F27+G27)*5)*100</f>
        <v>0</v>
      </c>
      <c r="E30" s="117">
        <f>E28/((C27+D27+E27+F27+G27)*5)*100</f>
        <v>0</v>
      </c>
      <c r="F30" s="118">
        <f>F28/((C27+D27+E27+F27+G27)*5)*100</f>
        <v>0</v>
      </c>
      <c r="G30" s="115">
        <f>G28/((C27+D27+E27+F27+G27)*5)*100</f>
        <v>0</v>
      </c>
      <c r="H30" s="114">
        <f>النتائج!E15</f>
        <v>20</v>
      </c>
      <c r="I30" s="66"/>
      <c r="J30" s="81" t="str">
        <f>النتائج!D15</f>
        <v>ناشئ</v>
      </c>
    </row>
    <row r="31" spans="1:10" ht="30.6" thickBot="1">
      <c r="A31" s="158"/>
      <c r="B31" s="25" t="s">
        <v>516</v>
      </c>
      <c r="C31" s="26">
        <v>20</v>
      </c>
      <c r="D31" s="24">
        <v>40</v>
      </c>
      <c r="E31" s="27">
        <v>60</v>
      </c>
      <c r="F31" s="28">
        <v>80</v>
      </c>
      <c r="G31" s="27">
        <v>100</v>
      </c>
    </row>
    <row r="32" spans="1:10" ht="30.6" thickBot="1">
      <c r="A32" s="158"/>
      <c r="B32" s="29" t="s">
        <v>517</v>
      </c>
      <c r="C32" s="160">
        <f>C30+D30+E30+F30+G30</f>
        <v>20</v>
      </c>
      <c r="D32" s="161"/>
      <c r="E32" s="162"/>
      <c r="F32" s="162"/>
      <c r="G32" s="163"/>
    </row>
    <row r="33" spans="1:7" ht="30.6" thickBot="1">
      <c r="A33" s="159"/>
      <c r="B33" s="30" t="s">
        <v>518</v>
      </c>
      <c r="C33" s="164">
        <v>100</v>
      </c>
      <c r="D33" s="165"/>
      <c r="E33" s="165"/>
      <c r="F33" s="165"/>
      <c r="G33" s="166"/>
    </row>
  </sheetData>
  <sheetProtection algorithmName="SHA-512" hashValue="yq9S5sb++k3nqTnmak5VcDoRa7MurUyZAFwNRdNoIMWQptFj5W9f2e87BQtK4MzmszIkxNqy3Ud9/j+XnEc9Ow==" saltValue="fGy0hM6dEaZjS5CHnXwYjA==" spinCount="100000" sheet="1" objects="1" scenarios="1"/>
  <mergeCells count="16">
    <mergeCell ref="A1:J4"/>
    <mergeCell ref="A30:A33"/>
    <mergeCell ref="C32:G32"/>
    <mergeCell ref="C33:G33"/>
    <mergeCell ref="A16:A17"/>
    <mergeCell ref="A18:A19"/>
    <mergeCell ref="A20:A21"/>
    <mergeCell ref="A22:A23"/>
    <mergeCell ref="A24:A25"/>
    <mergeCell ref="A27:A28"/>
    <mergeCell ref="A14:A15"/>
    <mergeCell ref="A5:G5"/>
    <mergeCell ref="A6:A7"/>
    <mergeCell ref="A8:A9"/>
    <mergeCell ref="A10:A11"/>
    <mergeCell ref="A12:A13"/>
  </mergeCells>
  <pageMargins left="0.7" right="0.7" top="0.75" bottom="0.75" header="0.3" footer="0.3"/>
  <pageSetup orientation="portrait" r:id="rId1"/>
  <ignoredErrors>
    <ignoredError sqref="C10:G10 C12:G12 E14:G14 C14:D14 E16:G16 C16:D16 C18:G18 E20:G20 C20:D20 C22:G22 C24:G24" formula="1"/>
  </ignoredError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4"/>
  <sheetViews>
    <sheetView rightToLeft="1" workbookViewId="0">
      <selection sqref="A1:H4"/>
    </sheetView>
  </sheetViews>
  <sheetFormatPr defaultRowHeight="13.8"/>
  <cols>
    <col min="1" max="1" width="21.296875" customWidth="1"/>
    <col min="2" max="2" width="19.5" customWidth="1"/>
    <col min="3" max="3" width="86.3984375" customWidth="1"/>
    <col min="4" max="5" width="10.19921875" customWidth="1"/>
    <col min="8" max="8" width="11.69921875" customWidth="1"/>
  </cols>
  <sheetData>
    <row r="1" spans="1:8" s="107" customFormat="1">
      <c r="A1" s="150"/>
      <c r="B1" s="150"/>
      <c r="C1" s="150"/>
      <c r="D1" s="150"/>
      <c r="E1" s="150"/>
      <c r="F1" s="150"/>
      <c r="G1" s="150"/>
      <c r="H1" s="150"/>
    </row>
    <row r="2" spans="1:8" s="107" customFormat="1">
      <c r="A2" s="150"/>
      <c r="B2" s="150"/>
      <c r="C2" s="150"/>
      <c r="D2" s="150"/>
      <c r="E2" s="150"/>
      <c r="F2" s="150"/>
      <c r="G2" s="150"/>
      <c r="H2" s="150"/>
    </row>
    <row r="3" spans="1:8" s="107" customFormat="1">
      <c r="A3" s="150"/>
      <c r="B3" s="150"/>
      <c r="C3" s="150"/>
      <c r="D3" s="150"/>
      <c r="E3" s="150"/>
      <c r="F3" s="150"/>
      <c r="G3" s="150"/>
      <c r="H3" s="150"/>
    </row>
    <row r="4" spans="1:8" s="107" customFormat="1">
      <c r="A4" s="150"/>
      <c r="B4" s="150"/>
      <c r="C4" s="150"/>
      <c r="D4" s="150"/>
      <c r="E4" s="150"/>
      <c r="F4" s="150"/>
      <c r="G4" s="150"/>
      <c r="H4" s="150"/>
    </row>
    <row r="5" spans="1:8" ht="28.8" thickBot="1">
      <c r="A5" s="176" t="s">
        <v>799</v>
      </c>
      <c r="B5" s="176"/>
      <c r="C5" s="176"/>
      <c r="D5" s="176"/>
      <c r="E5" s="176"/>
      <c r="F5" s="176"/>
      <c r="G5" s="176"/>
      <c r="H5" s="176"/>
    </row>
    <row r="6" spans="1:8" ht="28.8" thickBot="1">
      <c r="A6" s="31"/>
      <c r="B6" s="31"/>
      <c r="C6" s="31"/>
      <c r="D6" s="177">
        <f>'كشف التحصيل'!H30</f>
        <v>20</v>
      </c>
      <c r="E6" s="177"/>
      <c r="F6" s="178"/>
      <c r="G6" s="178"/>
      <c r="H6" s="178"/>
    </row>
    <row r="7" spans="1:8" ht="28.8" thickBot="1">
      <c r="A7" s="31"/>
      <c r="B7" s="31"/>
      <c r="C7" s="31"/>
      <c r="D7" s="178">
        <v>100</v>
      </c>
      <c r="E7" s="178"/>
      <c r="F7" s="178"/>
      <c r="G7" s="178"/>
      <c r="H7" s="178"/>
    </row>
    <row r="8" spans="1:8" ht="30">
      <c r="A8" s="179" t="s">
        <v>519</v>
      </c>
      <c r="B8" s="179" t="s">
        <v>520</v>
      </c>
      <c r="C8" s="179" t="s">
        <v>521</v>
      </c>
      <c r="D8" s="182" t="s">
        <v>522</v>
      </c>
      <c r="E8" s="183"/>
      <c r="F8" s="183"/>
      <c r="G8" s="183"/>
      <c r="H8" s="184"/>
    </row>
    <row r="9" spans="1:8" ht="24.6">
      <c r="A9" s="180"/>
      <c r="B9" s="180"/>
      <c r="C9" s="180"/>
      <c r="D9" s="123" t="s">
        <v>4</v>
      </c>
      <c r="E9" s="124" t="s">
        <v>7</v>
      </c>
      <c r="F9" s="125" t="s">
        <v>10</v>
      </c>
      <c r="G9" s="123" t="s">
        <v>13</v>
      </c>
      <c r="H9" s="125" t="s">
        <v>523</v>
      </c>
    </row>
    <row r="10" spans="1:8" ht="27" thickBot="1">
      <c r="A10" s="181"/>
      <c r="B10" s="181"/>
      <c r="C10" s="180"/>
      <c r="D10" s="126">
        <v>1</v>
      </c>
      <c r="E10" s="127">
        <v>2</v>
      </c>
      <c r="F10" s="128">
        <v>3</v>
      </c>
      <c r="G10" s="126">
        <v>4</v>
      </c>
      <c r="H10" s="128">
        <v>5</v>
      </c>
    </row>
    <row r="11" spans="1:8" ht="20.399999999999999" thickBot="1">
      <c r="A11" s="186" t="s">
        <v>524</v>
      </c>
      <c r="B11" s="186" t="s">
        <v>511</v>
      </c>
      <c r="C11" s="32" t="s">
        <v>525</v>
      </c>
      <c r="D11" s="33">
        <f>IF('الترويج والخبرة في تعلم الكبار'!H5=1,1,0)</f>
        <v>1</v>
      </c>
      <c r="E11" s="34">
        <f>IF('الترويج والخبرة في تعلم الكبار'!H5=2,1,0)</f>
        <v>0</v>
      </c>
      <c r="F11" s="35">
        <f>IF('الترويج والخبرة في تعلم الكبار'!H5=3,1,0)</f>
        <v>0</v>
      </c>
      <c r="G11" s="35">
        <f>IF('الترويج والخبرة في تعلم الكبار'!H5=4,1,0)</f>
        <v>0</v>
      </c>
      <c r="H11" s="36">
        <f>IF('الترويج والخبرة في تعلم الكبار'!H5=5,1,0)</f>
        <v>0</v>
      </c>
    </row>
    <row r="12" spans="1:8" ht="20.399999999999999" thickBot="1">
      <c r="A12" s="185"/>
      <c r="B12" s="185"/>
      <c r="C12" s="32" t="s">
        <v>526</v>
      </c>
      <c r="D12" s="33">
        <f>IF('الترويج والخبرة في تعلم الكبار'!H6=1,1,0)</f>
        <v>1</v>
      </c>
      <c r="E12" s="34">
        <f>IF('الترويج والخبرة في تعلم الكبار'!H6=2,1,0)</f>
        <v>0</v>
      </c>
      <c r="F12" s="35">
        <f>IF('الترويج والخبرة في تعلم الكبار'!H6=3,1,0)</f>
        <v>0</v>
      </c>
      <c r="G12" s="35">
        <f>IF('الترويج والخبرة في تعلم الكبار'!H6=4,1,0)</f>
        <v>0</v>
      </c>
      <c r="H12" s="36">
        <f>IF('الترويج والخبرة في تعلم الكبار'!H6=5,1,0)</f>
        <v>0</v>
      </c>
    </row>
    <row r="13" spans="1:8" ht="20.399999999999999" thickBot="1">
      <c r="A13" s="185"/>
      <c r="B13" s="185"/>
      <c r="C13" s="32" t="s">
        <v>527</v>
      </c>
      <c r="D13" s="33">
        <f>IF('الترويج والخبرة في تعلم الكبار'!H7=1,1,0)</f>
        <v>1</v>
      </c>
      <c r="E13" s="34">
        <f>IF('الترويج والخبرة في تعلم الكبار'!H7=2,1,0)</f>
        <v>0</v>
      </c>
      <c r="F13" s="35">
        <f>IF('الترويج والخبرة في تعلم الكبار'!H7=3,1,0)</f>
        <v>0</v>
      </c>
      <c r="G13" s="35">
        <f>IF('الترويج والخبرة في تعلم الكبار'!H7=4,1,0)</f>
        <v>0</v>
      </c>
      <c r="H13" s="36">
        <f>IF('الترويج والخبرة في تعلم الكبار'!H7=5,1,0)</f>
        <v>0</v>
      </c>
    </row>
    <row r="14" spans="1:8" ht="20.399999999999999" thickBot="1">
      <c r="A14" s="185"/>
      <c r="B14" s="185"/>
      <c r="C14" s="32" t="s">
        <v>528</v>
      </c>
      <c r="D14" s="33">
        <f>IF('الترويج والخبرة في تعلم الكبار'!H8=1,1,0)</f>
        <v>1</v>
      </c>
      <c r="E14" s="34">
        <f>IF('الترويج والخبرة في تعلم الكبار'!H8=2,1,0)</f>
        <v>0</v>
      </c>
      <c r="F14" s="35">
        <f>IF('الترويج والخبرة في تعلم الكبار'!H8=3,1,0)</f>
        <v>0</v>
      </c>
      <c r="G14" s="35">
        <f>IF('الترويج والخبرة في تعلم الكبار'!H8=4,1,0)</f>
        <v>0</v>
      </c>
      <c r="H14" s="36">
        <f>IF('الترويج والخبرة في تعلم الكبار'!H8=5,1,0)</f>
        <v>0</v>
      </c>
    </row>
    <row r="15" spans="1:8" ht="20.399999999999999" thickBot="1">
      <c r="A15" s="185"/>
      <c r="B15" s="185"/>
      <c r="C15" s="32" t="s">
        <v>529</v>
      </c>
      <c r="D15" s="33">
        <f>IF('الترويج والخبرة في تعلم الكبار'!H9=1,1,0)</f>
        <v>1</v>
      </c>
      <c r="E15" s="34">
        <f>IF('الترويج والخبرة في تعلم الكبار'!H9=2,1,0)</f>
        <v>0</v>
      </c>
      <c r="F15" s="35">
        <f>IF('الترويج والخبرة في تعلم الكبار'!H9=3,1,0)</f>
        <v>0</v>
      </c>
      <c r="G15" s="35">
        <f>IF('الترويج والخبرة في تعلم الكبار'!H9=4,1,0)</f>
        <v>0</v>
      </c>
      <c r="H15" s="36">
        <f>IF('الترويج والخبرة في تعلم الكبار'!H9=5,1,0)</f>
        <v>0</v>
      </c>
    </row>
    <row r="16" spans="1:8" ht="20.399999999999999" thickBot="1">
      <c r="A16" s="185"/>
      <c r="B16" s="185"/>
      <c r="C16" s="32" t="s">
        <v>530</v>
      </c>
      <c r="D16" s="33">
        <f>IF('الترويج والخبرة في تعلم الكبار'!H10=1,1,0)</f>
        <v>1</v>
      </c>
      <c r="E16" s="34">
        <f>IF('الترويج والخبرة في تعلم الكبار'!H10=2,1,0)</f>
        <v>0</v>
      </c>
      <c r="F16" s="35">
        <f>IF('الترويج والخبرة في تعلم الكبار'!H10=3,1,0)</f>
        <v>0</v>
      </c>
      <c r="G16" s="35">
        <f>IF('الترويج والخبرة في تعلم الكبار'!H10=4,1,0)</f>
        <v>0</v>
      </c>
      <c r="H16" s="36">
        <f>IF('الترويج والخبرة في تعلم الكبار'!H10=5,1,0)</f>
        <v>0</v>
      </c>
    </row>
    <row r="17" spans="1:8" ht="20.399999999999999" thickBot="1">
      <c r="A17" s="186" t="s">
        <v>531</v>
      </c>
      <c r="B17" s="186" t="s">
        <v>532</v>
      </c>
      <c r="C17" s="37" t="s">
        <v>533</v>
      </c>
      <c r="D17" s="38">
        <f>IF('برامج تعلم وتعليم الكبار'!H6=1,1,0)</f>
        <v>1</v>
      </c>
      <c r="E17" s="39">
        <f>IF('برامج تعلم وتعليم الكبار'!H6=2,1,0)</f>
        <v>0</v>
      </c>
      <c r="F17" s="40">
        <f>IF('برامج تعلم وتعليم الكبار'!H6=3,1,0)</f>
        <v>0</v>
      </c>
      <c r="G17" s="40">
        <f>IF('برامج تعلم وتعليم الكبار'!H6=4,1,0)</f>
        <v>0</v>
      </c>
      <c r="H17" s="41">
        <f>IF('برامج تعلم وتعليم الكبار'!H6=5,1,0)</f>
        <v>0</v>
      </c>
    </row>
    <row r="18" spans="1:8" ht="20.399999999999999" thickBot="1">
      <c r="A18" s="185"/>
      <c r="B18" s="185"/>
      <c r="C18" s="37" t="s">
        <v>534</v>
      </c>
      <c r="D18" s="38">
        <f>IF('برامج تعلم وتعليم الكبار'!H7=1,1,0)</f>
        <v>1</v>
      </c>
      <c r="E18" s="39">
        <f>IF('برامج تعلم وتعليم الكبار'!H7=2,1,0)</f>
        <v>0</v>
      </c>
      <c r="F18" s="40">
        <f>IF('برامج تعلم وتعليم الكبار'!H7=3,1,0)</f>
        <v>0</v>
      </c>
      <c r="G18" s="40">
        <f>IF('برامج تعلم وتعليم الكبار'!H7=4,1,0)</f>
        <v>0</v>
      </c>
      <c r="H18" s="41">
        <f>IF('برامج تعلم وتعليم الكبار'!H7=5,1,0)</f>
        <v>0</v>
      </c>
    </row>
    <row r="19" spans="1:8" ht="20.399999999999999" thickBot="1">
      <c r="A19" s="185"/>
      <c r="B19" s="185"/>
      <c r="C19" s="37" t="s">
        <v>535</v>
      </c>
      <c r="D19" s="38">
        <f>IF('برامج تعلم وتعليم الكبار'!H8=1,1,0)</f>
        <v>1</v>
      </c>
      <c r="E19" s="39">
        <f>IF('برامج تعلم وتعليم الكبار'!H8=2,1,0)</f>
        <v>0</v>
      </c>
      <c r="F19" s="40">
        <f>IF('برامج تعلم وتعليم الكبار'!H8=3,1,0)</f>
        <v>0</v>
      </c>
      <c r="G19" s="40">
        <f>IF('برامج تعلم وتعليم الكبار'!H8=4,1,0)</f>
        <v>0</v>
      </c>
      <c r="H19" s="41">
        <f>IF('برامج تعلم وتعليم الكبار'!H8=5,1,0)</f>
        <v>0</v>
      </c>
    </row>
    <row r="20" spans="1:8" ht="20.399999999999999" thickBot="1">
      <c r="A20" s="185"/>
      <c r="B20" s="185"/>
      <c r="C20" s="37" t="s">
        <v>536</v>
      </c>
      <c r="D20" s="38">
        <f>IF('برامج تعلم وتعليم الكبار'!H9=1,1,0)</f>
        <v>1</v>
      </c>
      <c r="E20" s="39">
        <f>IF('برامج تعلم وتعليم الكبار'!H9=2,1,0)</f>
        <v>0</v>
      </c>
      <c r="F20" s="40">
        <f>IF('برامج تعلم وتعليم الكبار'!H9=3,1,0)</f>
        <v>0</v>
      </c>
      <c r="G20" s="40">
        <f>IF('برامج تعلم وتعليم الكبار'!H9=4,1,0)</f>
        <v>0</v>
      </c>
      <c r="H20" s="41">
        <f>IF('برامج تعلم وتعليم الكبار'!H9=5,1,0)</f>
        <v>0</v>
      </c>
    </row>
    <row r="21" spans="1:8" ht="20.399999999999999" thickBot="1">
      <c r="A21" s="185"/>
      <c r="B21" s="185"/>
      <c r="C21" s="37" t="s">
        <v>537</v>
      </c>
      <c r="D21" s="38">
        <f>IF('برامج تعلم وتعليم الكبار'!H10=1,1,0)</f>
        <v>1</v>
      </c>
      <c r="E21" s="39">
        <f>IF('برامج تعلم وتعليم الكبار'!H10=2,1,0)</f>
        <v>0</v>
      </c>
      <c r="F21" s="40">
        <f>IF('برامج تعلم وتعليم الكبار'!H10=3,1,0)</f>
        <v>0</v>
      </c>
      <c r="G21" s="40">
        <f>IF('برامج تعلم وتعليم الكبار'!H10=4,1,0)</f>
        <v>0</v>
      </c>
      <c r="H21" s="41">
        <f>IF('برامج تعلم وتعليم الكبار'!H10=5,1,0)</f>
        <v>0</v>
      </c>
    </row>
    <row r="22" spans="1:8" ht="20.399999999999999" thickBot="1">
      <c r="A22" s="185"/>
      <c r="B22" s="185"/>
      <c r="C22" s="37" t="s">
        <v>538</v>
      </c>
      <c r="D22" s="38">
        <f>IF('برامج تعلم وتعليم الكبار'!H11=1,1,0)</f>
        <v>1</v>
      </c>
      <c r="E22" s="39">
        <f>IF('برامج تعلم وتعليم الكبار'!H11=2,1,0)</f>
        <v>0</v>
      </c>
      <c r="F22" s="40">
        <f>IF('برامج تعلم وتعليم الكبار'!H11=3,1,0)</f>
        <v>0</v>
      </c>
      <c r="G22" s="40">
        <f>IF('برامج تعلم وتعليم الكبار'!H11=4,1,0)</f>
        <v>0</v>
      </c>
      <c r="H22" s="41">
        <f>IF('برامج تعلم وتعليم الكبار'!H11=5,1,0)</f>
        <v>0</v>
      </c>
    </row>
    <row r="23" spans="1:8" ht="20.399999999999999" thickBot="1">
      <c r="A23" s="185"/>
      <c r="B23" s="185"/>
      <c r="C23" s="37" t="s">
        <v>539</v>
      </c>
      <c r="D23" s="38">
        <f>IF('برامج تعلم وتعليم الكبار'!H12=1,1,0)</f>
        <v>1</v>
      </c>
      <c r="E23" s="39">
        <f>IF('برامج تعلم وتعليم الكبار'!H12=2,1,0)</f>
        <v>0</v>
      </c>
      <c r="F23" s="40">
        <f>IF('برامج تعلم وتعليم الكبار'!H12=3,1,0)</f>
        <v>0</v>
      </c>
      <c r="G23" s="40">
        <f>IF('برامج تعلم وتعليم الكبار'!H12=4,1,0)</f>
        <v>0</v>
      </c>
      <c r="H23" s="41">
        <f>IF('برامج تعلم وتعليم الكبار'!H12=5,1,0)</f>
        <v>0</v>
      </c>
    </row>
    <row r="24" spans="1:8" ht="20.399999999999999" thickBot="1">
      <c r="A24" s="185"/>
      <c r="B24" s="185"/>
      <c r="C24" s="37" t="s">
        <v>540</v>
      </c>
      <c r="D24" s="38">
        <f>IF('برامج تعلم وتعليم الكبار'!H13=1,1,0)</f>
        <v>1</v>
      </c>
      <c r="E24" s="39">
        <f>IF('برامج تعلم وتعليم الكبار'!H13=2,1,0)</f>
        <v>0</v>
      </c>
      <c r="F24" s="40">
        <f>IF('برامج تعلم وتعليم الكبار'!H13=3,1,0)</f>
        <v>0</v>
      </c>
      <c r="G24" s="40">
        <f>IF('برامج تعلم وتعليم الكبار'!H13=4,1,0)</f>
        <v>0</v>
      </c>
      <c r="H24" s="41">
        <f>IF('برامج تعلم وتعليم الكبار'!H13=5,1,0)</f>
        <v>0</v>
      </c>
    </row>
    <row r="25" spans="1:8" ht="28.2" thickBot="1">
      <c r="A25" s="187"/>
      <c r="B25" s="187"/>
      <c r="C25" s="37" t="s">
        <v>541</v>
      </c>
      <c r="D25" s="38">
        <f>IF('برامج تعلم وتعليم الكبار'!H14=1,1,0)</f>
        <v>1</v>
      </c>
      <c r="E25" s="39">
        <f>IF('برامج تعلم وتعليم الكبار'!H14=2,1,0)</f>
        <v>0</v>
      </c>
      <c r="F25" s="40">
        <f>IF('برامج تعلم وتعليم الكبار'!H14=3,1,0)</f>
        <v>0</v>
      </c>
      <c r="G25" s="40">
        <f>IF('برامج تعلم وتعليم الكبار'!H14=4,1,0)</f>
        <v>0</v>
      </c>
      <c r="H25" s="41">
        <f>IF('برامج تعلم وتعليم الكبار'!H14=5,1,0)</f>
        <v>0</v>
      </c>
    </row>
    <row r="26" spans="1:8" ht="20.399999999999999" thickBot="1">
      <c r="A26" s="186" t="s">
        <v>542</v>
      </c>
      <c r="B26" s="186" t="s">
        <v>543</v>
      </c>
      <c r="C26" s="32" t="s">
        <v>544</v>
      </c>
      <c r="D26" s="42">
        <f>IF('البحث المجتمعي والتواصل'!H6=1,1,0)</f>
        <v>1</v>
      </c>
      <c r="E26" s="43">
        <f>IF('البحث المجتمعي والتواصل'!H6=2,1,0)</f>
        <v>0</v>
      </c>
      <c r="F26" s="44">
        <f>IF('البحث المجتمعي والتواصل'!H6=3,1,0)</f>
        <v>0</v>
      </c>
      <c r="G26" s="44">
        <f>IF('البحث المجتمعي والتواصل'!H6=4,1,0)</f>
        <v>0</v>
      </c>
      <c r="H26" s="45">
        <f>IF('البحث المجتمعي والتواصل'!H6=5,1,0)</f>
        <v>0</v>
      </c>
    </row>
    <row r="27" spans="1:8" ht="20.399999999999999" thickBot="1">
      <c r="A27" s="185"/>
      <c r="B27" s="185"/>
      <c r="C27" s="32" t="s">
        <v>545</v>
      </c>
      <c r="D27" s="42">
        <f>IF('البحث المجتمعي والتواصل'!H7=1,1,0)</f>
        <v>1</v>
      </c>
      <c r="E27" s="43">
        <f>IF('البحث المجتمعي والتواصل'!H7=2,1,0)</f>
        <v>0</v>
      </c>
      <c r="F27" s="44">
        <f>IF('البحث المجتمعي والتواصل'!H7=3,1,0)</f>
        <v>0</v>
      </c>
      <c r="G27" s="44">
        <f>IF('البحث المجتمعي والتواصل'!H7=4,1,0)</f>
        <v>0</v>
      </c>
      <c r="H27" s="45">
        <f>IF('البحث المجتمعي والتواصل'!H7=5,1,0)</f>
        <v>0</v>
      </c>
    </row>
    <row r="28" spans="1:8" ht="20.399999999999999" thickBot="1">
      <c r="A28" s="185"/>
      <c r="B28" s="185"/>
      <c r="C28" s="32" t="s">
        <v>546</v>
      </c>
      <c r="D28" s="42">
        <f>IF('البحث المجتمعي والتواصل'!H8=1,1,0)</f>
        <v>1</v>
      </c>
      <c r="E28" s="43">
        <f>IF('البحث المجتمعي والتواصل'!H8=2,1,0)</f>
        <v>0</v>
      </c>
      <c r="F28" s="44">
        <f>IF('البحث المجتمعي والتواصل'!H8=3,1,0)</f>
        <v>0</v>
      </c>
      <c r="G28" s="44">
        <f>IF('البحث المجتمعي والتواصل'!H8=4,1,0)</f>
        <v>0</v>
      </c>
      <c r="H28" s="45">
        <f>IF('البحث المجتمعي والتواصل'!H8=5,1,0)</f>
        <v>0</v>
      </c>
    </row>
    <row r="29" spans="1:8" ht="20.399999999999999" thickBot="1">
      <c r="A29" s="185"/>
      <c r="B29" s="185"/>
      <c r="C29" s="32" t="s">
        <v>547</v>
      </c>
      <c r="D29" s="42">
        <f>IF('البحث المجتمعي والتواصل'!H9=1,1,0)</f>
        <v>1</v>
      </c>
      <c r="E29" s="43">
        <f>IF('البحث المجتمعي والتواصل'!H9=2,1,0)</f>
        <v>0</v>
      </c>
      <c r="F29" s="44">
        <f>IF('البحث المجتمعي والتواصل'!H9=3,1,0)</f>
        <v>0</v>
      </c>
      <c r="G29" s="44">
        <f>IF('البحث المجتمعي والتواصل'!H9=4,1,0)</f>
        <v>0</v>
      </c>
      <c r="H29" s="45">
        <f>IF('البحث المجتمعي والتواصل'!H9=5,1,0)</f>
        <v>0</v>
      </c>
    </row>
    <row r="30" spans="1:8" ht="20.399999999999999" thickBot="1">
      <c r="A30" s="185"/>
      <c r="B30" s="185"/>
      <c r="C30" s="32" t="s">
        <v>548</v>
      </c>
      <c r="D30" s="42">
        <f>IF('البحث المجتمعي والتواصل'!H10=1,1,0)</f>
        <v>1</v>
      </c>
      <c r="E30" s="43">
        <f>IF('البحث المجتمعي والتواصل'!H10=2,1,0)</f>
        <v>0</v>
      </c>
      <c r="F30" s="44">
        <f>IF('البحث المجتمعي والتواصل'!H10=3,1,0)</f>
        <v>0</v>
      </c>
      <c r="G30" s="44">
        <f>IF('البحث المجتمعي والتواصل'!H10=4,1,0)</f>
        <v>0</v>
      </c>
      <c r="H30" s="45">
        <f>IF('البحث المجتمعي والتواصل'!H10=5,1,0)</f>
        <v>0</v>
      </c>
    </row>
    <row r="31" spans="1:8" ht="20.399999999999999" thickBot="1">
      <c r="A31" s="185"/>
      <c r="B31" s="185"/>
      <c r="C31" s="32" t="s">
        <v>549</v>
      </c>
      <c r="D31" s="42">
        <f>IF('البحث المجتمعي والتواصل'!H11=1,1,0)</f>
        <v>1</v>
      </c>
      <c r="E31" s="43">
        <f>IF('البحث المجتمعي والتواصل'!H11=2,1,0)</f>
        <v>0</v>
      </c>
      <c r="F31" s="44">
        <f>IF('البحث المجتمعي والتواصل'!H11=3,1,0)</f>
        <v>0</v>
      </c>
      <c r="G31" s="44">
        <f>IF('البحث المجتمعي والتواصل'!H11=4,1,0)</f>
        <v>0</v>
      </c>
      <c r="H31" s="45">
        <f>IF('البحث المجتمعي والتواصل'!H11=5,1,0)</f>
        <v>0</v>
      </c>
    </row>
    <row r="32" spans="1:8" ht="20.399999999999999" thickBot="1">
      <c r="A32" s="187"/>
      <c r="B32" s="187"/>
      <c r="C32" s="32" t="s">
        <v>550</v>
      </c>
      <c r="D32" s="42">
        <f>IF('البحث المجتمعي والتواصل'!H12=1,1,0)</f>
        <v>1</v>
      </c>
      <c r="E32" s="43">
        <f>IF('البحث المجتمعي والتواصل'!H12=2,1,0)</f>
        <v>0</v>
      </c>
      <c r="F32" s="44">
        <f>IF('البحث المجتمعي والتواصل'!H12=3,1,0)</f>
        <v>0</v>
      </c>
      <c r="G32" s="44">
        <f>IF('البحث المجتمعي والتواصل'!H12=4,1,0)</f>
        <v>0</v>
      </c>
      <c r="H32" s="45">
        <f>IF('البحث المجتمعي والتواصل'!H12=5,1,0)</f>
        <v>0</v>
      </c>
    </row>
    <row r="33" spans="1:8" ht="20.399999999999999" thickBot="1">
      <c r="A33" s="196" t="s">
        <v>551</v>
      </c>
      <c r="B33" s="196" t="s">
        <v>552</v>
      </c>
      <c r="C33" s="37" t="s">
        <v>553</v>
      </c>
      <c r="D33" s="46">
        <f>IF('التواصل والمناصرة'!H6=1,1,0)</f>
        <v>1</v>
      </c>
      <c r="E33" s="47">
        <f>IF('التواصل والمناصرة'!H6=2,1,0)</f>
        <v>0</v>
      </c>
      <c r="F33" s="48">
        <f>IF('التواصل والمناصرة'!H6=3,1,0)</f>
        <v>0</v>
      </c>
      <c r="G33" s="48">
        <f>IF('التواصل والمناصرة'!H6=4,1,0)</f>
        <v>0</v>
      </c>
      <c r="H33" s="49">
        <f>IF('التواصل والمناصرة'!H6=5,1,0)</f>
        <v>0</v>
      </c>
    </row>
    <row r="34" spans="1:8" ht="20.399999999999999" thickBot="1">
      <c r="A34" s="195"/>
      <c r="B34" s="195"/>
      <c r="C34" s="37" t="s">
        <v>554</v>
      </c>
      <c r="D34" s="46">
        <f>IF('التواصل والمناصرة'!H7=1,1,0)</f>
        <v>1</v>
      </c>
      <c r="E34" s="47">
        <f>IF('التواصل والمناصرة'!H7=2,1,0)</f>
        <v>0</v>
      </c>
      <c r="F34" s="48">
        <f>IF('التواصل والمناصرة'!H7=3,1,0)</f>
        <v>0</v>
      </c>
      <c r="G34" s="48">
        <f>IF('التواصل والمناصرة'!H7=4,1,0)</f>
        <v>0</v>
      </c>
      <c r="H34" s="49">
        <f>IF('التواصل والمناصرة'!H7=5,1,0)</f>
        <v>0</v>
      </c>
    </row>
    <row r="35" spans="1:8" ht="20.399999999999999" thickBot="1">
      <c r="A35" s="195"/>
      <c r="B35" s="195"/>
      <c r="C35" s="37" t="s">
        <v>555</v>
      </c>
      <c r="D35" s="46">
        <f>IF('التواصل والمناصرة'!H8=1,1,0)</f>
        <v>1</v>
      </c>
      <c r="E35" s="47">
        <f>IF('التواصل والمناصرة'!H8=2,1,0)</f>
        <v>0</v>
      </c>
      <c r="F35" s="48">
        <f>IF('التواصل والمناصرة'!H8=3,1,0)</f>
        <v>0</v>
      </c>
      <c r="G35" s="48">
        <f>IF('التواصل والمناصرة'!H8=4,1,0)</f>
        <v>0</v>
      </c>
      <c r="H35" s="49">
        <f>IF('التواصل والمناصرة'!H8=5,1,0)</f>
        <v>0</v>
      </c>
    </row>
    <row r="36" spans="1:8" ht="20.399999999999999" thickBot="1">
      <c r="A36" s="195"/>
      <c r="B36" s="195"/>
      <c r="C36" s="37" t="s">
        <v>556</v>
      </c>
      <c r="D36" s="46">
        <f>IF('التواصل والمناصرة'!H9=1,1,0)</f>
        <v>1</v>
      </c>
      <c r="E36" s="47">
        <f>IF('التواصل والمناصرة'!H9=2,1,0)</f>
        <v>0</v>
      </c>
      <c r="F36" s="48">
        <f>IF('التواصل والمناصرة'!H9=3,1,0)</f>
        <v>0</v>
      </c>
      <c r="G36" s="48">
        <f>IF('التواصل والمناصرة'!H9=4,1,0)</f>
        <v>0</v>
      </c>
      <c r="H36" s="49">
        <f>IF('التواصل والمناصرة'!H9=5,1,0)</f>
        <v>0</v>
      </c>
    </row>
    <row r="37" spans="1:8" ht="20.399999999999999" thickBot="1">
      <c r="A37" s="195"/>
      <c r="B37" s="195"/>
      <c r="C37" s="37" t="s">
        <v>557</v>
      </c>
      <c r="D37" s="46">
        <f>IF('التواصل والمناصرة'!H10=1,1,0)</f>
        <v>1</v>
      </c>
      <c r="E37" s="47">
        <f>IF('التواصل والمناصرة'!H10=2,1,0)</f>
        <v>0</v>
      </c>
      <c r="F37" s="48">
        <f>IF('التواصل والمناصرة'!H10=3,1,0)</f>
        <v>0</v>
      </c>
      <c r="G37" s="48">
        <f>IF('التواصل والمناصرة'!H10=4,1,0)</f>
        <v>0</v>
      </c>
      <c r="H37" s="49">
        <f>IF('التواصل والمناصرة'!H10=5,1,0)</f>
        <v>0</v>
      </c>
    </row>
    <row r="38" spans="1:8" ht="20.399999999999999" thickBot="1">
      <c r="A38" s="195"/>
      <c r="B38" s="195"/>
      <c r="C38" s="37" t="s">
        <v>558</v>
      </c>
      <c r="D38" s="46">
        <f>IF('التواصل والمناصرة'!H11=1,1,0)</f>
        <v>1</v>
      </c>
      <c r="E38" s="47">
        <f>IF('التواصل والمناصرة'!H11=2,1,0)</f>
        <v>0</v>
      </c>
      <c r="F38" s="48">
        <f>IF('التواصل والمناصرة'!H11=3,1,0)</f>
        <v>0</v>
      </c>
      <c r="G38" s="48">
        <f>IF('التواصل والمناصرة'!H11=4,1,0)</f>
        <v>0</v>
      </c>
      <c r="H38" s="49">
        <f>IF('التواصل والمناصرة'!H11=5,1,0)</f>
        <v>0</v>
      </c>
    </row>
    <row r="39" spans="1:8" ht="20.399999999999999" thickBot="1">
      <c r="A39" s="186" t="s">
        <v>559</v>
      </c>
      <c r="B39" s="186" t="s">
        <v>560</v>
      </c>
      <c r="C39" s="32" t="s">
        <v>561</v>
      </c>
      <c r="D39" s="42">
        <f>IF('الموارد البشرية'!H6=1,1,0)</f>
        <v>1</v>
      </c>
      <c r="E39" s="43">
        <f>IF('الموارد البشرية'!H6=2,1,0)</f>
        <v>0</v>
      </c>
      <c r="F39" s="44">
        <f>IF('الموارد البشرية'!H6=3,1,0)</f>
        <v>0</v>
      </c>
      <c r="G39" s="44">
        <f>IF('الموارد البشرية'!H6=4,1,0)</f>
        <v>0</v>
      </c>
      <c r="H39" s="45">
        <f>IF('الموارد البشرية'!H6=5,1,0)</f>
        <v>0</v>
      </c>
    </row>
    <row r="40" spans="1:8" ht="20.399999999999999" thickBot="1">
      <c r="A40" s="185"/>
      <c r="B40" s="185"/>
      <c r="C40" s="32" t="s">
        <v>562</v>
      </c>
      <c r="D40" s="42">
        <f>IF('الموارد البشرية'!H7=1,1,0)</f>
        <v>1</v>
      </c>
      <c r="E40" s="43">
        <f>IF('الموارد البشرية'!H7=2,1,0)</f>
        <v>0</v>
      </c>
      <c r="F40" s="44">
        <f>IF('الموارد البشرية'!H7=3,1,0)</f>
        <v>0</v>
      </c>
      <c r="G40" s="44">
        <f>IF('الموارد البشرية'!H7=4,1,0)</f>
        <v>0</v>
      </c>
      <c r="H40" s="45">
        <f>IF('الموارد البشرية'!H7=5,1,0)</f>
        <v>0</v>
      </c>
    </row>
    <row r="41" spans="1:8" ht="20.399999999999999" thickBot="1">
      <c r="A41" s="185"/>
      <c r="B41" s="185"/>
      <c r="C41" s="32" t="s">
        <v>563</v>
      </c>
      <c r="D41" s="42">
        <f>IF('الموارد البشرية'!H8=1,1,0)</f>
        <v>1</v>
      </c>
      <c r="E41" s="43">
        <f>IF('الموارد البشرية'!H8=2,1,0)</f>
        <v>0</v>
      </c>
      <c r="F41" s="44">
        <f>IF('الموارد البشرية'!H8=3,1,0)</f>
        <v>0</v>
      </c>
      <c r="G41" s="44">
        <f>IF('الموارد البشرية'!H8=4,1,0)</f>
        <v>0</v>
      </c>
      <c r="H41" s="45">
        <f>IF('الموارد البشرية'!H8=5,1,0)</f>
        <v>0</v>
      </c>
    </row>
    <row r="42" spans="1:8" ht="20.399999999999999" thickBot="1">
      <c r="A42" s="185"/>
      <c r="B42" s="185"/>
      <c r="C42" s="32" t="s">
        <v>564</v>
      </c>
      <c r="D42" s="42">
        <f>IF('الموارد البشرية'!H9=1,1,0)</f>
        <v>1</v>
      </c>
      <c r="E42" s="43">
        <f>IF('الموارد البشرية'!H9=2,1,0)</f>
        <v>0</v>
      </c>
      <c r="F42" s="44">
        <f>IF('الموارد البشرية'!H9=3,1,0)</f>
        <v>0</v>
      </c>
      <c r="G42" s="44">
        <f>IF('الموارد البشرية'!H9=4,1,0)</f>
        <v>0</v>
      </c>
      <c r="H42" s="45">
        <f>IF('الموارد البشرية'!H9=5,1,0)</f>
        <v>0</v>
      </c>
    </row>
    <row r="43" spans="1:8" ht="20.399999999999999" thickBot="1">
      <c r="A43" s="185"/>
      <c r="B43" s="185"/>
      <c r="C43" s="32" t="s">
        <v>565</v>
      </c>
      <c r="D43" s="42">
        <f>IF('الموارد البشرية'!H10=1,1,0)</f>
        <v>1</v>
      </c>
      <c r="E43" s="43">
        <f>IF('الموارد البشرية'!H10=2,1,0)</f>
        <v>0</v>
      </c>
      <c r="F43" s="44">
        <f>IF('الموارد البشرية'!H10=3,1,0)</f>
        <v>0</v>
      </c>
      <c r="G43" s="44">
        <f>IF('الموارد البشرية'!H10=4,1,0)</f>
        <v>0</v>
      </c>
      <c r="H43" s="45">
        <f>IF('الموارد البشرية'!H10=5,1,0)</f>
        <v>0</v>
      </c>
    </row>
    <row r="44" spans="1:8" ht="20.399999999999999" thickBot="1">
      <c r="A44" s="187"/>
      <c r="B44" s="187"/>
      <c r="C44" s="32" t="s">
        <v>566</v>
      </c>
      <c r="D44" s="42">
        <f>IF('الموارد البشرية'!H11=1,1,0)</f>
        <v>1</v>
      </c>
      <c r="E44" s="43">
        <f>IF('الموارد البشرية'!H11=2,1,0)</f>
        <v>0</v>
      </c>
      <c r="F44" s="44">
        <f>IF('الموارد البشرية'!H11=3,1,0)</f>
        <v>0</v>
      </c>
      <c r="G44" s="44">
        <f>IF('الموارد البشرية'!H11=4,1,0)</f>
        <v>0</v>
      </c>
      <c r="H44" s="45">
        <f>IF('الموارد البشرية'!H11=5,1,0)</f>
        <v>0</v>
      </c>
    </row>
    <row r="45" spans="1:8" ht="19.8">
      <c r="A45" s="185" t="s">
        <v>567</v>
      </c>
      <c r="B45" s="185" t="s">
        <v>568</v>
      </c>
      <c r="C45" s="37" t="s">
        <v>569</v>
      </c>
      <c r="D45" s="50">
        <f>IF(' التمويل وكتابة المشاريع'!H6=1,1,0)</f>
        <v>1</v>
      </c>
      <c r="E45" s="51">
        <f>IF(' التمويل وكتابة المشاريع'!H6=2,1,0)</f>
        <v>0</v>
      </c>
      <c r="F45" s="52">
        <f>IF(' التمويل وكتابة المشاريع'!H6=3,1,0)</f>
        <v>0</v>
      </c>
      <c r="G45" s="52">
        <f>IF(' التمويل وكتابة المشاريع'!H6=4,1,0)</f>
        <v>0</v>
      </c>
      <c r="H45" s="53">
        <f>IF(' التمويل وكتابة المشاريع'!H6=5,1,0)</f>
        <v>0</v>
      </c>
    </row>
    <row r="46" spans="1:8" ht="19.8">
      <c r="A46" s="185"/>
      <c r="B46" s="185"/>
      <c r="C46" s="37" t="s">
        <v>570</v>
      </c>
      <c r="D46" s="50">
        <f>IF(' التمويل وكتابة المشاريع'!H7=1,1,0)</f>
        <v>1</v>
      </c>
      <c r="E46" s="51">
        <f>IF(' التمويل وكتابة المشاريع'!H7=2,1,0)</f>
        <v>0</v>
      </c>
      <c r="F46" s="52">
        <f>IF(' التمويل وكتابة المشاريع'!H7=3,1,0)</f>
        <v>0</v>
      </c>
      <c r="G46" s="52">
        <f>IF(' التمويل وكتابة المشاريع'!H7=4,1,0)</f>
        <v>0</v>
      </c>
      <c r="H46" s="53">
        <f>IF(' التمويل وكتابة المشاريع'!H7=5,1,0)</f>
        <v>0</v>
      </c>
    </row>
    <row r="47" spans="1:8" ht="19.8">
      <c r="A47" s="185"/>
      <c r="B47" s="185"/>
      <c r="C47" s="37" t="s">
        <v>571</v>
      </c>
      <c r="D47" s="50">
        <f>IF(' التمويل وكتابة المشاريع'!H8=1,1,0)</f>
        <v>1</v>
      </c>
      <c r="E47" s="51">
        <f>IF(' التمويل وكتابة المشاريع'!H8=2,1,0)</f>
        <v>0</v>
      </c>
      <c r="F47" s="52">
        <f>IF(' التمويل وكتابة المشاريع'!H8=3,1,0)</f>
        <v>0</v>
      </c>
      <c r="G47" s="52">
        <f>IF(' التمويل وكتابة المشاريع'!H8=4,1,0)</f>
        <v>0</v>
      </c>
      <c r="H47" s="53">
        <f>IF(' التمويل وكتابة المشاريع'!H8=5,1,0)</f>
        <v>0</v>
      </c>
    </row>
    <row r="48" spans="1:8" ht="19.8">
      <c r="A48" s="185"/>
      <c r="B48" s="185"/>
      <c r="C48" s="37" t="s">
        <v>572</v>
      </c>
      <c r="D48" s="50">
        <f>IF(' التمويل وكتابة المشاريع'!H9=1,1,0)</f>
        <v>1</v>
      </c>
      <c r="E48" s="51">
        <f>IF(' التمويل وكتابة المشاريع'!H9=2,1,0)</f>
        <v>0</v>
      </c>
      <c r="F48" s="52">
        <f>IF(' التمويل وكتابة المشاريع'!H9=3,1,0)</f>
        <v>0</v>
      </c>
      <c r="G48" s="52">
        <f>IF(' التمويل وكتابة المشاريع'!H9=4,1,0)</f>
        <v>0</v>
      </c>
      <c r="H48" s="53">
        <f>IF(' التمويل وكتابة المشاريع'!H9=5,1,0)</f>
        <v>0</v>
      </c>
    </row>
    <row r="49" spans="1:8" ht="20.399999999999999" thickBot="1">
      <c r="A49" s="185"/>
      <c r="B49" s="185"/>
      <c r="C49" s="37" t="s">
        <v>573</v>
      </c>
      <c r="D49" s="50">
        <f>IF(' التمويل وكتابة المشاريع'!H10=1,1,0)</f>
        <v>1</v>
      </c>
      <c r="E49" s="51">
        <f>IF(' التمويل وكتابة المشاريع'!H10=2,1,0)</f>
        <v>0</v>
      </c>
      <c r="F49" s="52">
        <f>IF(' التمويل وكتابة المشاريع'!H10=3,1,0)</f>
        <v>0</v>
      </c>
      <c r="G49" s="52">
        <f>IF(' التمويل وكتابة المشاريع'!H10=4,1,0)</f>
        <v>0</v>
      </c>
      <c r="H49" s="53">
        <f>IF(' التمويل وكتابة المشاريع'!H10=5,1,0)</f>
        <v>0</v>
      </c>
    </row>
    <row r="50" spans="1:8" ht="20.399999999999999" thickBot="1">
      <c r="A50" s="186" t="s">
        <v>574</v>
      </c>
      <c r="B50" s="186" t="s">
        <v>802</v>
      </c>
      <c r="C50" s="32" t="s">
        <v>575</v>
      </c>
      <c r="D50" s="33">
        <f>IF('البنية التحتية والمعدات والتكنو'!H6=1,1,0)</f>
        <v>1</v>
      </c>
      <c r="E50" s="34">
        <f>IF('البنية التحتية والمعدات والتكنو'!H6=2,1,0)</f>
        <v>0</v>
      </c>
      <c r="F50" s="35">
        <f>IF('البنية التحتية والمعدات والتكنو'!H6=3,1,0)</f>
        <v>0</v>
      </c>
      <c r="G50" s="35">
        <f>IF('البنية التحتية والمعدات والتكنو'!H6=4,1,0)</f>
        <v>0</v>
      </c>
      <c r="H50" s="36">
        <f>IF('البنية التحتية والمعدات والتكنو'!H6=5,1,0)</f>
        <v>0</v>
      </c>
    </row>
    <row r="51" spans="1:8" ht="20.399999999999999" thickBot="1">
      <c r="A51" s="185"/>
      <c r="B51" s="185"/>
      <c r="C51" s="32" t="s">
        <v>576</v>
      </c>
      <c r="D51" s="33">
        <f>IF('البنية التحتية والمعدات والتكنو'!H7=1,1,0)</f>
        <v>1</v>
      </c>
      <c r="E51" s="34">
        <f>IF('البنية التحتية والمعدات والتكنو'!H7=2,1,0)</f>
        <v>0</v>
      </c>
      <c r="F51" s="35">
        <f>IF('البنية التحتية والمعدات والتكنو'!H7=3,1,0)</f>
        <v>0</v>
      </c>
      <c r="G51" s="35">
        <f>IF('البنية التحتية والمعدات والتكنو'!H7=4,1,0)</f>
        <v>0</v>
      </c>
      <c r="H51" s="36">
        <f>IF('البنية التحتية والمعدات والتكنو'!H7=5,1,0)</f>
        <v>0</v>
      </c>
    </row>
    <row r="52" spans="1:8" ht="20.399999999999999" thickBot="1">
      <c r="A52" s="185"/>
      <c r="B52" s="185"/>
      <c r="C52" s="32" t="s">
        <v>577</v>
      </c>
      <c r="D52" s="33">
        <f>IF('البنية التحتية والمعدات والتكنو'!H8=1,1,0)</f>
        <v>1</v>
      </c>
      <c r="E52" s="34">
        <f>IF('البنية التحتية والمعدات والتكنو'!H8=2,1,0)</f>
        <v>0</v>
      </c>
      <c r="F52" s="35">
        <f>IF('البنية التحتية والمعدات والتكنو'!H8=3,1,0)</f>
        <v>0</v>
      </c>
      <c r="G52" s="35">
        <f>IF('البنية التحتية والمعدات والتكنو'!H8=4,1,0)</f>
        <v>0</v>
      </c>
      <c r="H52" s="36">
        <f>IF('البنية التحتية والمعدات والتكنو'!H8=5,1,0)</f>
        <v>0</v>
      </c>
    </row>
    <row r="53" spans="1:8" ht="20.399999999999999" thickBot="1">
      <c r="A53" s="185"/>
      <c r="B53" s="185"/>
      <c r="C53" s="32" t="s">
        <v>578</v>
      </c>
      <c r="D53" s="33">
        <f>IF('البنية التحتية والمعدات والتكنو'!H9=1,1,0)</f>
        <v>1</v>
      </c>
      <c r="E53" s="34">
        <f>IF('البنية التحتية والمعدات والتكنو'!H9=2,1,0)</f>
        <v>0</v>
      </c>
      <c r="F53" s="35">
        <f>IF('البنية التحتية والمعدات والتكنو'!H9=3,1,0)</f>
        <v>0</v>
      </c>
      <c r="G53" s="35">
        <f>IF('البنية التحتية والمعدات والتكنو'!H9=4,1,0)</f>
        <v>0</v>
      </c>
      <c r="H53" s="36">
        <f>IF('البنية التحتية والمعدات والتكنو'!H9=5,1,0)</f>
        <v>0</v>
      </c>
    </row>
    <row r="54" spans="1:8" ht="20.399999999999999" thickBot="1">
      <c r="A54" s="187"/>
      <c r="B54" s="187"/>
      <c r="C54" s="32" t="s">
        <v>579</v>
      </c>
      <c r="D54" s="33">
        <f>IF('البنية التحتية والمعدات والتكنو'!H10=1,1,0)</f>
        <v>1</v>
      </c>
      <c r="E54" s="34">
        <f>IF('البنية التحتية والمعدات والتكنو'!H10=2,1,0)</f>
        <v>0</v>
      </c>
      <c r="F54" s="35">
        <f>IF('البنية التحتية والمعدات والتكنو'!H10=3,1,0)</f>
        <v>0</v>
      </c>
      <c r="G54" s="35">
        <f>IF('البنية التحتية والمعدات والتكنو'!H10=4,1,0)</f>
        <v>0</v>
      </c>
      <c r="H54" s="36">
        <f>IF('البنية التحتية والمعدات والتكنو'!H10=5,1,0)</f>
        <v>0</v>
      </c>
    </row>
    <row r="55" spans="1:8" ht="20.399999999999999" thickBot="1">
      <c r="A55" s="186" t="s">
        <v>580</v>
      </c>
      <c r="B55" s="186" t="s">
        <v>581</v>
      </c>
      <c r="C55" s="37" t="s">
        <v>582</v>
      </c>
      <c r="D55" s="46">
        <f>IF('الإدارة المالية'!H6=1,1,0)</f>
        <v>1</v>
      </c>
      <c r="E55" s="47">
        <f>IF('الإدارة المالية'!H6=2,1,0)</f>
        <v>0</v>
      </c>
      <c r="F55" s="48">
        <f>IF('الإدارة المالية'!H6=3,1,0)</f>
        <v>0</v>
      </c>
      <c r="G55" s="48">
        <f>IF('الإدارة المالية'!H6=4,1,0)</f>
        <v>0</v>
      </c>
      <c r="H55" s="49">
        <f>IF('الإدارة المالية'!H6=5,1,0)</f>
        <v>0</v>
      </c>
    </row>
    <row r="56" spans="1:8" ht="20.399999999999999" thickBot="1">
      <c r="A56" s="185"/>
      <c r="B56" s="185"/>
      <c r="C56" s="37" t="s">
        <v>583</v>
      </c>
      <c r="D56" s="46">
        <f>IF('الإدارة المالية'!H7=1,1,0)</f>
        <v>1</v>
      </c>
      <c r="E56" s="47">
        <f>IF('الإدارة المالية'!H7=2,1,0)</f>
        <v>0</v>
      </c>
      <c r="F56" s="48">
        <f>IF('الإدارة المالية'!H7=3,1,0)</f>
        <v>0</v>
      </c>
      <c r="G56" s="48">
        <f>IF('الإدارة المالية'!H7=4,1,0)</f>
        <v>0</v>
      </c>
      <c r="H56" s="49">
        <f>IF('الإدارة المالية'!H7=5,1,0)</f>
        <v>0</v>
      </c>
    </row>
    <row r="57" spans="1:8" ht="20.399999999999999" thickBot="1">
      <c r="A57" s="185"/>
      <c r="B57" s="185"/>
      <c r="C57" s="37" t="s">
        <v>584</v>
      </c>
      <c r="D57" s="46">
        <f>IF('الإدارة المالية'!H8=1,1,0)</f>
        <v>1</v>
      </c>
      <c r="E57" s="47">
        <f>IF('الإدارة المالية'!H8=2,1,0)</f>
        <v>0</v>
      </c>
      <c r="F57" s="48">
        <f>IF('الإدارة المالية'!H8=3,1,0)</f>
        <v>0</v>
      </c>
      <c r="G57" s="48">
        <f>IF('الإدارة المالية'!H8=4,1,0)</f>
        <v>0</v>
      </c>
      <c r="H57" s="49">
        <f>IF('الإدارة المالية'!H8=5,1,0)</f>
        <v>0</v>
      </c>
    </row>
    <row r="58" spans="1:8" ht="20.399999999999999" thickBot="1">
      <c r="A58" s="185"/>
      <c r="B58" s="185"/>
      <c r="C58" s="37" t="s">
        <v>585</v>
      </c>
      <c r="D58" s="46">
        <f>IF('الإدارة المالية'!H9=1,1,0)</f>
        <v>1</v>
      </c>
      <c r="E58" s="47">
        <f>IF('الإدارة المالية'!H9=2,1,0)</f>
        <v>0</v>
      </c>
      <c r="F58" s="48">
        <f>IF('الإدارة المالية'!H9=3,1,0)</f>
        <v>0</v>
      </c>
      <c r="G58" s="48">
        <f>IF('الإدارة المالية'!H9=4,1,0)</f>
        <v>0</v>
      </c>
      <c r="H58" s="49">
        <f>IF('الإدارة المالية'!H9=5,1,0)</f>
        <v>0</v>
      </c>
    </row>
    <row r="59" spans="1:8" ht="20.399999999999999" thickBot="1">
      <c r="A59" s="185"/>
      <c r="B59" s="185"/>
      <c r="C59" s="37" t="s">
        <v>586</v>
      </c>
      <c r="D59" s="46">
        <f>IF('الإدارة المالية'!H10=1,1,0)</f>
        <v>1</v>
      </c>
      <c r="E59" s="47">
        <f>IF('الإدارة المالية'!H10=2,1,0)</f>
        <v>0</v>
      </c>
      <c r="F59" s="48">
        <f>IF('الإدارة المالية'!H10=3,1,0)</f>
        <v>0</v>
      </c>
      <c r="G59" s="48">
        <f>IF('الإدارة المالية'!H10=4,1,0)</f>
        <v>0</v>
      </c>
      <c r="H59" s="49">
        <f>IF('الإدارة المالية'!H10=5,1,0)</f>
        <v>0</v>
      </c>
    </row>
    <row r="60" spans="1:8" ht="20.399999999999999" thickBot="1">
      <c r="A60" s="185"/>
      <c r="B60" s="185"/>
      <c r="C60" s="37" t="s">
        <v>587</v>
      </c>
      <c r="D60" s="46">
        <f>IF('الإدارة المالية'!H11=1,1,0)</f>
        <v>1</v>
      </c>
      <c r="E60" s="47">
        <f>IF('الإدارة المالية'!H11=2,1,0)</f>
        <v>0</v>
      </c>
      <c r="F60" s="48">
        <f>IF('الإدارة المالية'!H11=3,1,0)</f>
        <v>0</v>
      </c>
      <c r="G60" s="48">
        <f>IF('الإدارة المالية'!H11=4,1,0)</f>
        <v>0</v>
      </c>
      <c r="H60" s="49">
        <f>IF('الإدارة المالية'!H11=5,1,0)</f>
        <v>0</v>
      </c>
    </row>
    <row r="61" spans="1:8" ht="20.399999999999999" thickBot="1">
      <c r="A61" s="187"/>
      <c r="B61" s="187"/>
      <c r="C61" s="37" t="s">
        <v>588</v>
      </c>
      <c r="D61" s="46">
        <f>IF('الإدارة المالية'!H12=1,1,0)</f>
        <v>1</v>
      </c>
      <c r="E61" s="47">
        <f>IF('الإدارة المالية'!H12=2,1,0)</f>
        <v>0</v>
      </c>
      <c r="F61" s="48">
        <f>IF('الإدارة المالية'!H12=3,1,0)</f>
        <v>0</v>
      </c>
      <c r="G61" s="48">
        <f>IF('الإدارة المالية'!H12=4,1,0)</f>
        <v>0</v>
      </c>
      <c r="H61" s="49">
        <f>IF('الإدارة المالية'!H12=5,1,0)</f>
        <v>0</v>
      </c>
    </row>
    <row r="62" spans="1:8" ht="19.8">
      <c r="A62" s="195" t="s">
        <v>589</v>
      </c>
      <c r="B62" s="195" t="s">
        <v>625</v>
      </c>
      <c r="C62" s="32" t="s">
        <v>590</v>
      </c>
      <c r="D62" s="54">
        <f>IF('الإدارة والحوكمة'!H6=1,1,0)</f>
        <v>1</v>
      </c>
      <c r="E62" s="55">
        <f>IF('الإدارة والحوكمة'!H6=2,1,0)</f>
        <v>0</v>
      </c>
      <c r="F62" s="56">
        <f>IF('الإدارة والحوكمة'!H6=3,1,0)</f>
        <v>0</v>
      </c>
      <c r="G62" s="56">
        <f>IF('الإدارة والحوكمة'!H6=4,1,0)</f>
        <v>0</v>
      </c>
      <c r="H62" s="57">
        <f>IF('الإدارة والحوكمة'!H6=5,1,0)</f>
        <v>0</v>
      </c>
    </row>
    <row r="63" spans="1:8" ht="19.8">
      <c r="A63" s="195"/>
      <c r="B63" s="195"/>
      <c r="C63" s="32" t="s">
        <v>591</v>
      </c>
      <c r="D63" s="54">
        <f>IF('الإدارة والحوكمة'!H7=1,1,0)</f>
        <v>1</v>
      </c>
      <c r="E63" s="55">
        <f>IF('الإدارة والحوكمة'!H7=2,1,0)</f>
        <v>0</v>
      </c>
      <c r="F63" s="56">
        <f>IF('الإدارة والحوكمة'!H7=3,1,0)</f>
        <v>0</v>
      </c>
      <c r="G63" s="56">
        <f>IF('الإدارة والحوكمة'!H7=4,1,0)</f>
        <v>0</v>
      </c>
      <c r="H63" s="57">
        <f>IF('الإدارة والحوكمة'!H7=5,1,0)</f>
        <v>0</v>
      </c>
    </row>
    <row r="64" spans="1:8" ht="19.8">
      <c r="A64" s="195"/>
      <c r="B64" s="195"/>
      <c r="C64" s="32" t="s">
        <v>592</v>
      </c>
      <c r="D64" s="54">
        <f>IF('الإدارة والحوكمة'!H8=1,1,0)</f>
        <v>1</v>
      </c>
      <c r="E64" s="55">
        <f>IF('الإدارة والحوكمة'!H8=2,1,0)</f>
        <v>0</v>
      </c>
      <c r="F64" s="56">
        <f>IF('الإدارة والحوكمة'!H8=3,1,0)</f>
        <v>0</v>
      </c>
      <c r="G64" s="56">
        <f>IF('الإدارة والحوكمة'!H8=4,1,0)</f>
        <v>0</v>
      </c>
      <c r="H64" s="57">
        <f>IF('الإدارة والحوكمة'!H8=5,1,0)</f>
        <v>0</v>
      </c>
    </row>
    <row r="65" spans="1:8" ht="19.8">
      <c r="A65" s="195"/>
      <c r="B65" s="195"/>
      <c r="C65" s="32" t="s">
        <v>593</v>
      </c>
      <c r="D65" s="54">
        <f>IF('الإدارة والحوكمة'!H9=1,1,0)</f>
        <v>1</v>
      </c>
      <c r="E65" s="55">
        <f>IF('الإدارة والحوكمة'!H9=2,1,0)</f>
        <v>0</v>
      </c>
      <c r="F65" s="56">
        <f>IF('الإدارة والحوكمة'!H9=3,1,0)</f>
        <v>0</v>
      </c>
      <c r="G65" s="56">
        <f>IF('الإدارة والحوكمة'!H9=4,1,0)</f>
        <v>0</v>
      </c>
      <c r="H65" s="57">
        <f>IF('الإدارة والحوكمة'!H9=5,1,0)</f>
        <v>0</v>
      </c>
    </row>
    <row r="66" spans="1:8" ht="19.8">
      <c r="A66" s="195"/>
      <c r="B66" s="195"/>
      <c r="C66" s="32" t="s">
        <v>594</v>
      </c>
      <c r="D66" s="54">
        <f>IF('الإدارة والحوكمة'!H10=1,1,0)</f>
        <v>1</v>
      </c>
      <c r="E66" s="55">
        <f>IF('الإدارة والحوكمة'!H10=2,1,0)</f>
        <v>0</v>
      </c>
      <c r="F66" s="56">
        <f>IF('الإدارة والحوكمة'!H10=3,1,0)</f>
        <v>0</v>
      </c>
      <c r="G66" s="56">
        <f>IF('الإدارة والحوكمة'!H10=4,1,0)</f>
        <v>0</v>
      </c>
      <c r="H66" s="57">
        <f>IF('الإدارة والحوكمة'!H10=5,1,0)</f>
        <v>0</v>
      </c>
    </row>
    <row r="67" spans="1:8" ht="19.8">
      <c r="A67" s="195"/>
      <c r="B67" s="195"/>
      <c r="C67" s="32" t="s">
        <v>595</v>
      </c>
      <c r="D67" s="54">
        <f>IF('الإدارة والحوكمة'!H11=1,1,0)</f>
        <v>1</v>
      </c>
      <c r="E67" s="55">
        <f>IF('الإدارة والحوكمة'!H11=2,1,0)</f>
        <v>0</v>
      </c>
      <c r="F67" s="56">
        <f>IF('الإدارة والحوكمة'!H11=3,1,0)</f>
        <v>0</v>
      </c>
      <c r="G67" s="56">
        <f>IF('الإدارة والحوكمة'!H11=4,1,0)</f>
        <v>0</v>
      </c>
      <c r="H67" s="57">
        <f>IF('الإدارة والحوكمة'!H11=5,1,0)</f>
        <v>0</v>
      </c>
    </row>
    <row r="68" spans="1:8" ht="20.399999999999999" thickBot="1">
      <c r="A68" s="195"/>
      <c r="B68" s="195"/>
      <c r="C68" s="32" t="s">
        <v>596</v>
      </c>
      <c r="D68" s="54">
        <f>IF('الإدارة والحوكمة'!H12=1,1,0)</f>
        <v>1</v>
      </c>
      <c r="E68" s="55">
        <f>IF('الإدارة والحوكمة'!H12=2,1,0)</f>
        <v>0</v>
      </c>
      <c r="F68" s="56">
        <f>IF('الإدارة والحوكمة'!H12=3,1,0)</f>
        <v>0</v>
      </c>
      <c r="G68" s="56">
        <f>IF('الإدارة والحوكمة'!H12=4,1,0)</f>
        <v>0</v>
      </c>
      <c r="H68" s="57">
        <f>IF('الإدارة والحوكمة'!H12=5,1,0)</f>
        <v>0</v>
      </c>
    </row>
    <row r="69" spans="1:8" ht="18" thickBot="1">
      <c r="A69" s="188" t="s">
        <v>512</v>
      </c>
      <c r="B69" s="189"/>
      <c r="C69" s="190"/>
      <c r="D69" s="58">
        <f>SUM(D11:D68)</f>
        <v>58</v>
      </c>
      <c r="E69" s="58">
        <f>SUM(E11:E68)</f>
        <v>0</v>
      </c>
      <c r="F69" s="58">
        <f>SUM(F11:F68)</f>
        <v>0</v>
      </c>
      <c r="G69" s="58">
        <f>SUM(G11:G68)</f>
        <v>0</v>
      </c>
      <c r="H69" s="58">
        <f>SUM(H11:H68)</f>
        <v>0</v>
      </c>
    </row>
    <row r="70" spans="1:8" ht="18" thickBot="1">
      <c r="A70" s="188" t="s">
        <v>597</v>
      </c>
      <c r="B70" s="189"/>
      <c r="C70" s="191"/>
      <c r="D70" s="59">
        <f>D69*1</f>
        <v>58</v>
      </c>
      <c r="E70" s="59">
        <f>E69*2</f>
        <v>0</v>
      </c>
      <c r="F70" s="59">
        <f>F69*3</f>
        <v>0</v>
      </c>
      <c r="G70" s="59">
        <f>G69*4</f>
        <v>0</v>
      </c>
      <c r="H70" s="59">
        <f>H69*5</f>
        <v>0</v>
      </c>
    </row>
    <row r="71" spans="1:8" ht="18" thickBot="1">
      <c r="A71" s="188" t="s">
        <v>598</v>
      </c>
      <c r="B71" s="189"/>
      <c r="C71" s="191"/>
      <c r="D71" s="60">
        <f>D70/2.32</f>
        <v>25</v>
      </c>
      <c r="E71" s="60">
        <f>E70/2.32</f>
        <v>0</v>
      </c>
      <c r="F71" s="60">
        <f>F70/2.32</f>
        <v>0</v>
      </c>
      <c r="G71" s="60">
        <f>G70/2.32</f>
        <v>0</v>
      </c>
      <c r="H71" s="61">
        <f>H70/2.32</f>
        <v>0</v>
      </c>
    </row>
    <row r="72" spans="1:8" ht="18" thickBot="1">
      <c r="A72" s="188" t="s">
        <v>599</v>
      </c>
      <c r="B72" s="189"/>
      <c r="C72" s="191"/>
      <c r="D72" s="192">
        <f>'كشف التحصيل'!H30</f>
        <v>20</v>
      </c>
      <c r="E72" s="193"/>
      <c r="F72" s="193"/>
      <c r="G72" s="193"/>
      <c r="H72" s="194"/>
    </row>
    <row r="73" spans="1:8">
      <c r="C73" s="62"/>
      <c r="D73" s="63"/>
      <c r="E73" s="63"/>
      <c r="F73" s="63"/>
      <c r="G73" s="63"/>
      <c r="H73" s="63"/>
    </row>
    <row r="74" spans="1:8">
      <c r="C74" s="62"/>
      <c r="D74" s="63"/>
      <c r="E74" s="63"/>
      <c r="F74" s="63"/>
      <c r="G74" s="63"/>
      <c r="H74" s="63"/>
    </row>
  </sheetData>
  <sheetProtection sheet="1" objects="1" scenarios="1"/>
  <mergeCells count="31">
    <mergeCell ref="A1:H4"/>
    <mergeCell ref="A69:C69"/>
    <mergeCell ref="A70:C70"/>
    <mergeCell ref="A71:C71"/>
    <mergeCell ref="A72:C72"/>
    <mergeCell ref="D72:H72"/>
    <mergeCell ref="A50:A54"/>
    <mergeCell ref="B50:B54"/>
    <mergeCell ref="A55:A61"/>
    <mergeCell ref="B55:B61"/>
    <mergeCell ref="A62:A68"/>
    <mergeCell ref="B62:B68"/>
    <mergeCell ref="A33:A38"/>
    <mergeCell ref="B33:B38"/>
    <mergeCell ref="A39:A44"/>
    <mergeCell ref="B39:B44"/>
    <mergeCell ref="A45:A49"/>
    <mergeCell ref="B45:B49"/>
    <mergeCell ref="A11:A16"/>
    <mergeCell ref="B11:B16"/>
    <mergeCell ref="A17:A25"/>
    <mergeCell ref="B17:B25"/>
    <mergeCell ref="A26:A32"/>
    <mergeCell ref="B26:B32"/>
    <mergeCell ref="A5:H5"/>
    <mergeCell ref="D6:H6"/>
    <mergeCell ref="D7:H7"/>
    <mergeCell ref="A8:A10"/>
    <mergeCell ref="B8:B10"/>
    <mergeCell ref="C8:C10"/>
    <mergeCell ref="D8:H8"/>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rightToLeft="1" topLeftCell="A22" zoomScaleNormal="100" workbookViewId="0">
      <selection activeCell="B21" sqref="B21"/>
    </sheetView>
  </sheetViews>
  <sheetFormatPr defaultRowHeight="13.8"/>
  <cols>
    <col min="1" max="1" width="28.8984375" customWidth="1"/>
    <col min="2" max="2" width="30.09765625" customWidth="1"/>
    <col min="3" max="3" width="28.796875" customWidth="1"/>
    <col min="4" max="4" width="62.296875" customWidth="1"/>
    <col min="5" max="5" width="32.296875" customWidth="1"/>
    <col min="7" max="7" width="18" customWidth="1"/>
  </cols>
  <sheetData>
    <row r="1" spans="1:7" s="107" customFormat="1">
      <c r="A1" s="150"/>
      <c r="B1" s="150"/>
      <c r="C1" s="150"/>
      <c r="D1" s="150"/>
    </row>
    <row r="2" spans="1:7" s="107" customFormat="1">
      <c r="A2" s="150"/>
      <c r="B2" s="150"/>
      <c r="C2" s="150"/>
      <c r="D2" s="150"/>
    </row>
    <row r="3" spans="1:7" s="107" customFormat="1">
      <c r="A3" s="150"/>
      <c r="B3" s="150"/>
      <c r="C3" s="150"/>
      <c r="D3" s="150"/>
    </row>
    <row r="4" spans="1:7" s="107" customFormat="1" ht="14.4" thickBot="1">
      <c r="A4" s="150"/>
      <c r="B4" s="150"/>
      <c r="C4" s="150"/>
      <c r="D4" s="150"/>
    </row>
    <row r="5" spans="1:7" ht="27" customHeight="1">
      <c r="A5" s="129" t="s">
        <v>633</v>
      </c>
      <c r="B5" s="130" t="s">
        <v>600</v>
      </c>
      <c r="C5" s="131" t="s">
        <v>800</v>
      </c>
      <c r="D5" s="132"/>
      <c r="F5" t="s">
        <v>627</v>
      </c>
    </row>
    <row r="6" spans="1:7" ht="48.75" customHeight="1">
      <c r="A6" s="145" t="s">
        <v>631</v>
      </c>
      <c r="B6" s="140" t="str">
        <f>النتائج!D6</f>
        <v>ناشئ</v>
      </c>
      <c r="C6" s="141" t="s">
        <v>523</v>
      </c>
      <c r="D6" s="142" t="s">
        <v>601</v>
      </c>
      <c r="F6" t="s">
        <v>628</v>
      </c>
      <c r="G6">
        <f>النتائج!E15</f>
        <v>20</v>
      </c>
    </row>
    <row r="7" spans="1:7" ht="253.5" customHeight="1">
      <c r="A7" s="145" t="s">
        <v>79</v>
      </c>
      <c r="B7" s="140" t="str">
        <f>النتائج!D7</f>
        <v>ناشئ</v>
      </c>
      <c r="C7" s="141" t="s">
        <v>523</v>
      </c>
      <c r="D7" s="197" t="s">
        <v>635</v>
      </c>
      <c r="F7" t="s">
        <v>629</v>
      </c>
      <c r="G7" t="str">
        <f>النتائج!D15</f>
        <v>ناشئ</v>
      </c>
    </row>
    <row r="8" spans="1:7" ht="32.25" customHeight="1">
      <c r="A8" s="145" t="s">
        <v>152</v>
      </c>
      <c r="B8" s="140" t="str">
        <f>النتائج!D8</f>
        <v>ناشئ</v>
      </c>
      <c r="C8" s="141" t="s">
        <v>523</v>
      </c>
      <c r="D8" s="197"/>
      <c r="F8" t="str">
        <f>G7</f>
        <v>ناشئ</v>
      </c>
      <c r="G8">
        <f>IF(G7="ناشئ",1,IF(G7="أولي",2,IF(G7="أساسي",3,IF(G7="منظم",4,5))))</f>
        <v>1</v>
      </c>
    </row>
    <row r="9" spans="1:7" ht="29.25" customHeight="1">
      <c r="A9" s="145" t="s">
        <v>209</v>
      </c>
      <c r="B9" s="140" t="str">
        <f>النتائج!D9</f>
        <v>ناشئ</v>
      </c>
      <c r="C9" s="141" t="s">
        <v>523</v>
      </c>
      <c r="D9" s="197"/>
    </row>
    <row r="10" spans="1:7" ht="34.5" customHeight="1">
      <c r="A10" s="145" t="s">
        <v>258</v>
      </c>
      <c r="B10" s="140" t="str">
        <f>النتائج!D10</f>
        <v>ناشئ</v>
      </c>
      <c r="C10" s="141" t="s">
        <v>523</v>
      </c>
      <c r="D10" s="197"/>
      <c r="F10" t="str">
        <f>G7</f>
        <v>ناشئ</v>
      </c>
      <c r="G10">
        <f>G8</f>
        <v>1</v>
      </c>
    </row>
    <row r="11" spans="1:7" ht="18">
      <c r="A11" s="145" t="s">
        <v>307</v>
      </c>
      <c r="B11" s="140" t="str">
        <f>النتائج!D11</f>
        <v>ناشئ</v>
      </c>
      <c r="C11" s="141" t="s">
        <v>523</v>
      </c>
      <c r="D11" s="197"/>
      <c r="F11" t="s">
        <v>630</v>
      </c>
      <c r="G11">
        <f>5-G8</f>
        <v>4</v>
      </c>
    </row>
    <row r="12" spans="1:7" ht="32.25" customHeight="1">
      <c r="A12" s="145" t="s">
        <v>602</v>
      </c>
      <c r="B12" s="140" t="str">
        <f>النتائج!D12</f>
        <v>ناشئ</v>
      </c>
      <c r="C12" s="141" t="s">
        <v>523</v>
      </c>
      <c r="D12" s="197"/>
    </row>
    <row r="13" spans="1:7" ht="249.6" customHeight="1">
      <c r="A13" s="145" t="s">
        <v>389</v>
      </c>
      <c r="B13" s="140" t="str">
        <f>النتائج!D13</f>
        <v>ناشئ</v>
      </c>
      <c r="C13" s="141" t="s">
        <v>523</v>
      </c>
      <c r="D13" s="198"/>
    </row>
    <row r="14" spans="1:7" ht="18.600000000000001" thickBot="1">
      <c r="A14" s="146" t="s">
        <v>446</v>
      </c>
      <c r="B14" s="140" t="str">
        <f>النتائج!D14</f>
        <v>ناشئ</v>
      </c>
      <c r="C14" s="140" t="s">
        <v>523</v>
      </c>
      <c r="D14" s="143"/>
    </row>
    <row r="15" spans="1:7" ht="14.4">
      <c r="A15" s="64"/>
      <c r="B15" s="64"/>
      <c r="C15" s="65"/>
      <c r="D15" s="65"/>
      <c r="E15" s="64"/>
    </row>
    <row r="16" spans="1:7" ht="14.4">
      <c r="A16" s="64"/>
      <c r="B16" s="64"/>
      <c r="C16" s="65"/>
      <c r="D16" s="65"/>
      <c r="E16" s="64"/>
    </row>
    <row r="17" spans="1:5" ht="14.4">
      <c r="A17" s="64"/>
      <c r="B17" s="64"/>
      <c r="C17" s="65"/>
      <c r="D17" s="65"/>
      <c r="E17" s="64"/>
    </row>
    <row r="18" spans="1:5" ht="21" customHeight="1">
      <c r="A18" s="64"/>
      <c r="B18" s="64"/>
      <c r="C18" s="65"/>
      <c r="D18" s="65"/>
      <c r="E18" s="64"/>
    </row>
    <row r="19" spans="1:5" ht="21">
      <c r="A19" s="138" t="s">
        <v>603</v>
      </c>
      <c r="B19" s="139" t="s">
        <v>604</v>
      </c>
      <c r="C19" s="139" t="s">
        <v>803</v>
      </c>
      <c r="D19" s="139" t="s">
        <v>605</v>
      </c>
      <c r="E19" s="138" t="s">
        <v>634</v>
      </c>
    </row>
    <row r="20" spans="1:5" ht="21">
      <c r="A20" s="133" t="s">
        <v>606</v>
      </c>
      <c r="B20" s="133" t="s">
        <v>606</v>
      </c>
      <c r="C20" s="135" t="s">
        <v>606</v>
      </c>
      <c r="D20" s="136" t="s">
        <v>606</v>
      </c>
      <c r="E20" s="137" t="s">
        <v>606</v>
      </c>
    </row>
    <row r="21" spans="1:5" ht="261.60000000000002" customHeight="1">
      <c r="A21" s="82" t="s">
        <v>607</v>
      </c>
      <c r="B21" s="83" t="s">
        <v>804</v>
      </c>
      <c r="C21" s="84" t="s">
        <v>608</v>
      </c>
      <c r="D21" s="85" t="s">
        <v>609</v>
      </c>
      <c r="E21" s="86" t="s">
        <v>610</v>
      </c>
    </row>
    <row r="22" spans="1:5" ht="38.25" customHeight="1">
      <c r="A22" s="89"/>
      <c r="B22" s="90"/>
      <c r="C22" s="91"/>
      <c r="D22" s="91"/>
      <c r="E22" s="92"/>
    </row>
    <row r="23" spans="1:5" ht="21">
      <c r="A23" s="133" t="s">
        <v>611</v>
      </c>
      <c r="B23" s="134" t="s">
        <v>611</v>
      </c>
      <c r="C23" s="135" t="s">
        <v>611</v>
      </c>
      <c r="D23" s="136" t="s">
        <v>611</v>
      </c>
      <c r="E23" s="137" t="s">
        <v>611</v>
      </c>
    </row>
    <row r="24" spans="1:5" ht="260.39999999999998" customHeight="1">
      <c r="A24" s="87" t="s">
        <v>612</v>
      </c>
      <c r="B24" s="83" t="s">
        <v>613</v>
      </c>
      <c r="C24" s="94" t="s">
        <v>614</v>
      </c>
      <c r="D24" s="93" t="s">
        <v>615</v>
      </c>
      <c r="E24" s="88" t="s">
        <v>616</v>
      </c>
    </row>
    <row r="25" spans="1:5" ht="14.4">
      <c r="B25" t="s">
        <v>617</v>
      </c>
    </row>
  </sheetData>
  <mergeCells count="2">
    <mergeCell ref="D7:D13"/>
    <mergeCell ref="A1:D4"/>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8"/>
  <sheetViews>
    <sheetView rightToLeft="1" topLeftCell="A37" workbookViewId="0">
      <selection activeCell="G58" sqref="G58"/>
    </sheetView>
  </sheetViews>
  <sheetFormatPr defaultRowHeight="13.8"/>
  <cols>
    <col min="23" max="23" width="21.19921875" customWidth="1"/>
  </cols>
  <sheetData>
    <row r="1" spans="1:24">
      <c r="A1" s="150"/>
      <c r="B1" s="150"/>
      <c r="C1" s="150"/>
      <c r="D1" s="150"/>
      <c r="E1" s="150"/>
      <c r="F1" s="150"/>
      <c r="G1" s="150"/>
      <c r="H1" s="150"/>
      <c r="I1" s="150"/>
      <c r="J1" s="150"/>
      <c r="K1" s="150"/>
      <c r="L1" s="150"/>
      <c r="M1" s="150"/>
      <c r="N1" s="150"/>
      <c r="O1" s="150"/>
      <c r="P1" s="150"/>
      <c r="Q1" s="150"/>
      <c r="R1" s="150"/>
      <c r="S1" s="150"/>
      <c r="T1" s="150"/>
      <c r="U1" s="150"/>
      <c r="W1" t="s">
        <v>519</v>
      </c>
      <c r="X1" t="s">
        <v>620</v>
      </c>
    </row>
    <row r="2" spans="1:24">
      <c r="A2" s="150"/>
      <c r="B2" s="150"/>
      <c r="C2" s="150"/>
      <c r="D2" s="150"/>
      <c r="E2" s="150"/>
      <c r="F2" s="150"/>
      <c r="G2" s="150"/>
      <c r="H2" s="150"/>
      <c r="I2" s="150"/>
      <c r="J2" s="150"/>
      <c r="K2" s="150"/>
      <c r="L2" s="150"/>
      <c r="M2" s="150"/>
      <c r="N2" s="150"/>
      <c r="O2" s="150"/>
      <c r="P2" s="150"/>
      <c r="Q2" s="150"/>
      <c r="R2" s="150"/>
      <c r="S2" s="150"/>
      <c r="T2" s="150"/>
      <c r="U2" s="150"/>
      <c r="W2" s="107" t="str">
        <f>النتائج!A6</f>
        <v>الترويج والخبرة في تعلم الكبار</v>
      </c>
      <c r="X2" s="144">
        <f>النتائج!E6</f>
        <v>20</v>
      </c>
    </row>
    <row r="3" spans="1:24">
      <c r="A3" s="150"/>
      <c r="B3" s="150"/>
      <c r="C3" s="150"/>
      <c r="D3" s="150"/>
      <c r="E3" s="150"/>
      <c r="F3" s="150"/>
      <c r="G3" s="150"/>
      <c r="H3" s="150"/>
      <c r="I3" s="150"/>
      <c r="J3" s="150"/>
      <c r="K3" s="150"/>
      <c r="L3" s="150"/>
      <c r="M3" s="150"/>
      <c r="N3" s="150"/>
      <c r="O3" s="150"/>
      <c r="P3" s="150"/>
      <c r="Q3" s="150"/>
      <c r="R3" s="150"/>
      <c r="S3" s="150"/>
      <c r="T3" s="150"/>
      <c r="U3" s="150"/>
      <c r="W3" s="107" t="str">
        <f>النتائج!A7</f>
        <v>برامج تعلم وتعليم الكبار</v>
      </c>
      <c r="X3" s="144">
        <f>النتائج!E7</f>
        <v>20</v>
      </c>
    </row>
    <row r="4" spans="1:24">
      <c r="W4" s="107" t="str">
        <f>النتائج!A8</f>
        <v>البحث المجتمعي والتواصل</v>
      </c>
      <c r="X4" s="144">
        <f>النتائج!E8</f>
        <v>20</v>
      </c>
    </row>
    <row r="5" spans="1:24">
      <c r="W5" s="107" t="str">
        <f>النتائج!A9</f>
        <v>التواصل والمناصرة</v>
      </c>
      <c r="X5" s="144">
        <f>النتائج!E9</f>
        <v>20</v>
      </c>
    </row>
    <row r="6" spans="1:24">
      <c r="W6" s="107" t="str">
        <f>النتائج!A10</f>
        <v>الموارد البشرية</v>
      </c>
      <c r="X6" s="144">
        <f>النتائج!E10</f>
        <v>20</v>
      </c>
    </row>
    <row r="7" spans="1:24">
      <c r="W7" s="107" t="str">
        <f>النتائج!A11</f>
        <v>جمع التمويل وكتابة المشاريع</v>
      </c>
      <c r="X7" s="144">
        <f>النتائج!E11</f>
        <v>20</v>
      </c>
    </row>
    <row r="8" spans="1:24">
      <c r="W8" s="107" t="str">
        <f>النتائج!A12</f>
        <v>البنية التحتية والمعدات والتكنو</v>
      </c>
      <c r="X8" s="144">
        <f>النتائج!E12</f>
        <v>20</v>
      </c>
    </row>
    <row r="9" spans="1:24">
      <c r="W9" s="107" t="str">
        <f>النتائج!A13</f>
        <v>الإدارة المالية</v>
      </c>
      <c r="X9" s="144">
        <f>النتائج!E13</f>
        <v>20</v>
      </c>
    </row>
    <row r="10" spans="1:24">
      <c r="W10" s="107" t="str">
        <f>النتائج!A14</f>
        <v>الإدارة والحوكمة</v>
      </c>
      <c r="X10" s="144">
        <f>النتائج!E14</f>
        <v>20</v>
      </c>
    </row>
    <row r="28" ht="117.6" customHeight="1"/>
  </sheetData>
  <sheetProtection algorithmName="SHA-512" hashValue="SRWSS9iuokZaL50NDgAN5pQ7ldyLSPkVbSQwGj1+EWfayDv+pZdsZ9fqedDgZ2whonLaQvygL2FCqSVbln1Hyw==" saltValue="O4nt7xpdMKvqpcRFNXsilQ==" spinCount="100000" sheet="1" objects="1" scenarios="1"/>
  <mergeCells count="1">
    <mergeCell ref="A1: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rightToLeft="1" workbookViewId="0">
      <selection activeCell="A10" sqref="A10:E10"/>
    </sheetView>
  </sheetViews>
  <sheetFormatPr defaultRowHeight="13.8"/>
  <cols>
    <col min="1" max="1" width="30.5" customWidth="1"/>
    <col min="2" max="2" width="28.69921875" customWidth="1"/>
    <col min="3" max="3" width="39.09765625" customWidth="1"/>
    <col min="4" max="4" width="37.59765625" customWidth="1"/>
    <col min="5" max="5" width="44.8984375" customWidth="1"/>
  </cols>
  <sheetData>
    <row r="1" spans="1:5" s="107" customFormat="1">
      <c r="A1" s="150"/>
      <c r="B1" s="150"/>
      <c r="C1" s="150"/>
      <c r="D1" s="150"/>
      <c r="E1" s="150"/>
    </row>
    <row r="2" spans="1:5" s="107" customFormat="1">
      <c r="A2" s="150"/>
      <c r="B2" s="150"/>
      <c r="C2" s="150"/>
      <c r="D2" s="150"/>
      <c r="E2" s="150"/>
    </row>
    <row r="3" spans="1:5" s="107" customFormat="1">
      <c r="A3" s="150"/>
      <c r="B3" s="150"/>
      <c r="C3" s="150"/>
      <c r="D3" s="150"/>
      <c r="E3" s="150"/>
    </row>
    <row r="4" spans="1:5" s="107" customFormat="1">
      <c r="A4" s="151"/>
      <c r="B4" s="151"/>
      <c r="C4" s="151"/>
      <c r="D4" s="151"/>
      <c r="E4" s="151"/>
    </row>
    <row r="5" spans="1:5" ht="28.8">
      <c r="A5" s="67" t="s">
        <v>618</v>
      </c>
      <c r="B5" s="67" t="s">
        <v>806</v>
      </c>
      <c r="C5" s="67" t="s">
        <v>805</v>
      </c>
      <c r="D5" s="67" t="s">
        <v>605</v>
      </c>
      <c r="E5" s="67" t="s">
        <v>619</v>
      </c>
    </row>
    <row r="6" spans="1:5" ht="28.8">
      <c r="A6" s="68">
        <f>'كشف التحصيل'!C27</f>
        <v>58</v>
      </c>
      <c r="B6" s="68">
        <f>'كشف التحصيل'!D27</f>
        <v>0</v>
      </c>
      <c r="C6" s="68">
        <f>'كشف التحصيل'!E27</f>
        <v>0</v>
      </c>
      <c r="D6" s="68">
        <f>'كشف التحصيل'!F27</f>
        <v>0</v>
      </c>
      <c r="E6" s="68">
        <f>'كشف التحصيل'!G27</f>
        <v>0</v>
      </c>
    </row>
    <row r="7" spans="1:5" ht="28.8">
      <c r="A7" s="68">
        <f>'كشف التحصيل'!C28</f>
        <v>58</v>
      </c>
      <c r="B7" s="68">
        <f>'كشف التحصيل'!D28</f>
        <v>0</v>
      </c>
      <c r="C7" s="68">
        <f>'كشف التحصيل'!E28</f>
        <v>0</v>
      </c>
      <c r="D7" s="68">
        <f>'كشف التحصيل'!F28</f>
        <v>0</v>
      </c>
      <c r="E7" s="68">
        <f>'كشف التحصيل'!G28</f>
        <v>0</v>
      </c>
    </row>
    <row r="8" spans="1:5" ht="28.8">
      <c r="A8" s="68"/>
      <c r="B8" s="68"/>
      <c r="C8" s="68"/>
      <c r="D8" s="68"/>
      <c r="E8" s="68"/>
    </row>
    <row r="9" spans="1:5" ht="33.6">
      <c r="A9" s="69">
        <f>'كشف التحصيل'!C30</f>
        <v>20</v>
      </c>
      <c r="B9" s="69">
        <f>'كشف التحصيل'!D30</f>
        <v>0</v>
      </c>
      <c r="C9" s="69">
        <f>'كشف التحصيل'!E30</f>
        <v>0</v>
      </c>
      <c r="D9" s="69">
        <f>'كشف التحصيل'!F30</f>
        <v>0</v>
      </c>
      <c r="E9" s="69">
        <f>'كشف التحصيل'!G30</f>
        <v>0</v>
      </c>
    </row>
    <row r="10" spans="1:5" ht="36.6">
      <c r="A10" s="199">
        <f>'كشف التحصيل'!H30</f>
        <v>20</v>
      </c>
      <c r="B10" s="199"/>
      <c r="C10" s="199"/>
      <c r="D10" s="199"/>
      <c r="E10" s="199"/>
    </row>
  </sheetData>
  <sheetProtection sheet="1" objects="1" scenarios="1"/>
  <mergeCells count="2">
    <mergeCell ref="A10:E10"/>
    <mergeCell ref="A1:E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دليل المستويات</vt:lpstr>
      <vt:lpstr>الترويج والخبرة في تعلم الكبار</vt:lpstr>
      <vt:lpstr>برامج تعلم وتعليم الكبار</vt:lpstr>
      <vt:lpstr>البحث المجتمعي والتواصل</vt:lpstr>
      <vt:lpstr>التواصل والمناصرة</vt:lpstr>
      <vt:lpstr>الموارد البشرية</vt:lpstr>
      <vt:lpstr> التمويل وكتابة المشاريع</vt:lpstr>
      <vt:lpstr>البنية التحتية والمعدات والتكنو</vt:lpstr>
      <vt:lpstr>الإدارة المالية</vt:lpstr>
      <vt:lpstr>الإدارة والحوكمة</vt:lpstr>
      <vt:lpstr>سجل المرفقات الداعمة</vt:lpstr>
      <vt:lpstr>النتائج</vt:lpstr>
      <vt:lpstr>كشف التحصيل</vt:lpstr>
      <vt:lpstr>كشف العلامات الموحد</vt:lpstr>
      <vt:lpstr>ملخص التقييم ودليل المستويات</vt:lpstr>
      <vt:lpstr>تحليل النتائج والرسوم البيانية</vt:lpstr>
      <vt:lpstr>العلامة النهائية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Maher</cp:lastModifiedBy>
  <dcterms:created xsi:type="dcterms:W3CDTF">2026-08-12T07:04:07Z</dcterms:created>
  <dcterms:modified xsi:type="dcterms:W3CDTF">2026-09-01T08:11:22Z</dcterms:modified>
</cp:coreProperties>
</file>